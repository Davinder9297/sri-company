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 SUMMARY 2026" sheetId="1" r:id="rId5"/>
    <sheet state="visible" name="2026 - NEW" sheetId="2" r:id="rId6"/>
    <sheet state="visible" name="RATES" sheetId="3" r:id="rId7"/>
    <sheet state="visible" name="CALC" sheetId="4" r:id="rId8"/>
    <sheet state="visible" name="2025" sheetId="5" r:id="rId9"/>
    <sheet state="visible" name="2024" sheetId="6" r:id="rId10"/>
    <sheet state="visible" name="Stock" sheetId="7" r:id="rId11"/>
    <sheet state="visible" name="Purchase" sheetId="8" r:id="rId12"/>
    <sheet state="visible" name="Sale" sheetId="9" r:id="rId13"/>
    <sheet state="hidden" name="Sheet1" sheetId="10" r:id="rId14"/>
  </sheets>
  <definedNames>
    <definedName hidden="1" localSheetId="1" name="_xlnm._FilterDatabase">'2026 - NEW'!$A$1:$N$230</definedName>
    <definedName hidden="1" localSheetId="2" name="_xlnm._FilterDatabase">RATES!$K$1:$M$155</definedName>
    <definedName hidden="1" localSheetId="4" name="_xlnm._FilterDatabase">'2025'!$A$1:$N$209</definedName>
    <definedName hidden="1" localSheetId="5" name="_xlnm._FilterDatabase">'2024'!$A$1:$H$134</definedName>
    <definedName hidden="1" localSheetId="6" name="_xlnm._FilterDatabase">Stock!$A$2:$H$175</definedName>
  </definedNames>
  <calcPr/>
</workbook>
</file>

<file path=xl/sharedStrings.xml><?xml version="1.0" encoding="utf-8"?>
<sst xmlns="http://schemas.openxmlformats.org/spreadsheetml/2006/main" count="4292" uniqueCount="870">
  <si>
    <t>OLD</t>
  </si>
  <si>
    <t>DRY FRUITS</t>
  </si>
  <si>
    <t>SNO</t>
  </si>
  <si>
    <t>2x1</t>
  </si>
  <si>
    <t>Combined</t>
  </si>
  <si>
    <t>Qty</t>
  </si>
  <si>
    <t>UOM</t>
  </si>
  <si>
    <t>PRICE</t>
  </si>
  <si>
    <t>CATEGORY</t>
  </si>
  <si>
    <t>3x1 - AJAY BHAII</t>
  </si>
  <si>
    <t>NEW</t>
  </si>
  <si>
    <t>Google Link</t>
  </si>
  <si>
    <t>BOXES</t>
  </si>
  <si>
    <t>Image</t>
  </si>
  <si>
    <t>Wt</t>
  </si>
  <si>
    <t>PUR</t>
  </si>
  <si>
    <t>Design Name</t>
  </si>
  <si>
    <t>PACKING</t>
  </si>
  <si>
    <t>CARDBOARD</t>
  </si>
  <si>
    <t xml:space="preserve">Dash </t>
  </si>
  <si>
    <t>Size</t>
  </si>
  <si>
    <t>KAJU</t>
  </si>
  <si>
    <t>TYPE</t>
  </si>
  <si>
    <t>PART</t>
  </si>
  <si>
    <t>REGULAR</t>
  </si>
  <si>
    <t>SC01-8x8</t>
  </si>
  <si>
    <t>PARTICULARS</t>
  </si>
  <si>
    <t>QTY</t>
  </si>
  <si>
    <t>RATE</t>
  </si>
  <si>
    <t>8x8</t>
  </si>
  <si>
    <t>GROSS</t>
  </si>
  <si>
    <t>SIZE</t>
  </si>
  <si>
    <t>KISHMISH GREEN</t>
  </si>
  <si>
    <t>SC03-8x8</t>
  </si>
  <si>
    <t>8x12</t>
  </si>
  <si>
    <t>BADAM</t>
  </si>
  <si>
    <t>SC06-8x8</t>
  </si>
  <si>
    <t>10x10</t>
  </si>
  <si>
    <t>NAMKEEN PISTA</t>
  </si>
  <si>
    <t>SC08-8x8</t>
  </si>
  <si>
    <t>7x10</t>
  </si>
  <si>
    <t>11x11</t>
  </si>
  <si>
    <t>KHURBANI</t>
  </si>
  <si>
    <t>PCS</t>
  </si>
  <si>
    <t>SC10-8x8</t>
  </si>
  <si>
    <t>10x15</t>
  </si>
  <si>
    <t>AKROT MAGAZ</t>
  </si>
  <si>
    <t>SC11-8x8</t>
  </si>
  <si>
    <t>12x12</t>
  </si>
  <si>
    <t>Pcs</t>
  </si>
  <si>
    <t>ANJEER</t>
  </si>
  <si>
    <t>CARDBOARD BOXES</t>
  </si>
  <si>
    <t>SC04-8x12</t>
  </si>
  <si>
    <t>12x18</t>
  </si>
  <si>
    <t>NAMKEEN BADAM</t>
  </si>
  <si>
    <t>SC05-8x12</t>
  </si>
  <si>
    <t>SC01-200G.jpeg</t>
  </si>
  <si>
    <t>NAMKEEN KAJU</t>
  </si>
  <si>
    <t>SC06-8x12</t>
  </si>
  <si>
    <t>FLAVOURED KISHMISH</t>
  </si>
  <si>
    <t>FLAVOURED</t>
  </si>
  <si>
    <t>SC08-8x12</t>
  </si>
  <si>
    <t>FLAVOURED BADAM</t>
  </si>
  <si>
    <t>SC09-8x12</t>
  </si>
  <si>
    <t>FLAVOURED KAJU</t>
  </si>
  <si>
    <t>SC12-8x12</t>
  </si>
  <si>
    <t>COATED BADAM</t>
  </si>
  <si>
    <t>SPECIAL</t>
  </si>
  <si>
    <t>SC01-10x10</t>
  </si>
  <si>
    <t>COATED KISHMISH</t>
  </si>
  <si>
    <t>SC04-10x10</t>
  </si>
  <si>
    <t>BLUEBERRY</t>
  </si>
  <si>
    <t>BERRIES &amp; SEEDS</t>
  </si>
  <si>
    <t>SC05-10x10</t>
  </si>
  <si>
    <t>CRANBERRY</t>
  </si>
  <si>
    <t>SC06-10x10</t>
  </si>
  <si>
    <t>MASALA CRANBERRY</t>
  </si>
  <si>
    <t>SC08-10x10</t>
  </si>
  <si>
    <t>280-380</t>
  </si>
  <si>
    <t>BREAKFAST MIX</t>
  </si>
  <si>
    <t>SC09-10x10</t>
  </si>
  <si>
    <t>3x1</t>
  </si>
  <si>
    <t>TRAIL MIX</t>
  </si>
  <si>
    <t>YES</t>
  </si>
  <si>
    <t>SC10-10x10</t>
  </si>
  <si>
    <t>315-455</t>
  </si>
  <si>
    <t>200G</t>
  </si>
  <si>
    <t>FRUITY BITES</t>
  </si>
  <si>
    <t>BITES &amp; CHOCOLATES</t>
  </si>
  <si>
    <t>SC11-10x10</t>
  </si>
  <si>
    <t>4+2</t>
  </si>
  <si>
    <t>SC01</t>
  </si>
  <si>
    <t>CRUNCHIES</t>
  </si>
  <si>
    <t>4x1</t>
  </si>
  <si>
    <t>SC02-10x15</t>
  </si>
  <si>
    <t>-</t>
  </si>
  <si>
    <t>DATE PASTRY</t>
  </si>
  <si>
    <t>435-575</t>
  </si>
  <si>
    <t>SC04-10x15</t>
  </si>
  <si>
    <t>4x1 + Carry</t>
  </si>
  <si>
    <t>6x1</t>
  </si>
  <si>
    <t>DATE BITES</t>
  </si>
  <si>
    <t>605-685</t>
  </si>
  <si>
    <t>SC05-10x15</t>
  </si>
  <si>
    <t>Big</t>
  </si>
  <si>
    <t>SUGARFREE BITES</t>
  </si>
  <si>
    <t>SC06-10x15</t>
  </si>
  <si>
    <t>DELIGHTFUL BITES</t>
  </si>
  <si>
    <t>SC08-10x15</t>
  </si>
  <si>
    <t>SC03-8x8.jpeg</t>
  </si>
  <si>
    <t>KUNAFA BAR</t>
  </si>
  <si>
    <t>SC09-10x15</t>
  </si>
  <si>
    <t>KUNAFA BITE</t>
  </si>
  <si>
    <t>SC10-10x15</t>
  </si>
  <si>
    <t>ALMOND FLOURENTINE ROUND</t>
  </si>
  <si>
    <t>SC11-10x15</t>
  </si>
  <si>
    <t>ALMOND ROCA</t>
  </si>
  <si>
    <t>SC02-12x12</t>
  </si>
  <si>
    <t>DATE ALMONDS</t>
  </si>
  <si>
    <t>SC04-12x12</t>
  </si>
  <si>
    <t>SC03</t>
  </si>
  <si>
    <t>SC06-8x8.jpeg</t>
  </si>
  <si>
    <t>SC05-12x12</t>
  </si>
  <si>
    <t>SC06-12x12</t>
  </si>
  <si>
    <t>SC08-12x12</t>
  </si>
  <si>
    <t>SC09-12x12</t>
  </si>
  <si>
    <t>SC06</t>
  </si>
  <si>
    <t>SC10-12x12</t>
  </si>
  <si>
    <t>SC02-12x18</t>
  </si>
  <si>
    <t>024-2x1</t>
  </si>
  <si>
    <t>SC04-12x18</t>
  </si>
  <si>
    <t>SC08-8x8.jpeg</t>
  </si>
  <si>
    <t>SC05-12x18</t>
  </si>
  <si>
    <t>SC06-12x18</t>
  </si>
  <si>
    <t>SC08-12x18</t>
  </si>
  <si>
    <t>SC08</t>
  </si>
  <si>
    <t>SC10-12x18</t>
  </si>
  <si>
    <t>S01-2x1</t>
  </si>
  <si>
    <t>SC10-8x8.jpeg</t>
  </si>
  <si>
    <t>S02-2x1</t>
  </si>
  <si>
    <t>PACKING CHARGES</t>
  </si>
  <si>
    <t>S03-2x1</t>
  </si>
  <si>
    <t>S04-2x1</t>
  </si>
  <si>
    <t>S05-2x1</t>
  </si>
  <si>
    <t>2015-3x1</t>
  </si>
  <si>
    <t>S07-3x1</t>
  </si>
  <si>
    <t>SC10</t>
  </si>
  <si>
    <t>S08-3x1</t>
  </si>
  <si>
    <t>S09-3x1</t>
  </si>
  <si>
    <t>SC11-8x8.jpeg</t>
  </si>
  <si>
    <t>S10-3x1</t>
  </si>
  <si>
    <t>TOTAL</t>
  </si>
  <si>
    <t>S11-3x1</t>
  </si>
  <si>
    <t>S12-4x1</t>
  </si>
  <si>
    <t>S13-4x1</t>
  </si>
  <si>
    <t>S14-4x1</t>
  </si>
  <si>
    <t>S06-4x1</t>
  </si>
  <si>
    <t>SC11</t>
  </si>
  <si>
    <t>S15-4x1</t>
  </si>
  <si>
    <t>S16-6x1</t>
  </si>
  <si>
    <t>S17-6x1</t>
  </si>
  <si>
    <t>SC04-8x12.jpeg</t>
  </si>
  <si>
    <t>S18-6x1</t>
  </si>
  <si>
    <t>214A-3x1</t>
  </si>
  <si>
    <t>224A-3x1</t>
  </si>
  <si>
    <t>224B-3x1</t>
  </si>
  <si>
    <t>264A-3x1</t>
  </si>
  <si>
    <t>2005-3x1</t>
  </si>
  <si>
    <t>300G</t>
  </si>
  <si>
    <t>SC04</t>
  </si>
  <si>
    <t>225A-3x1</t>
  </si>
  <si>
    <t>275B-3x1</t>
  </si>
  <si>
    <t>SC05-8x12.jpeg</t>
  </si>
  <si>
    <t>215B-3x1</t>
  </si>
  <si>
    <t>325-3x1</t>
  </si>
  <si>
    <t>335-3x1</t>
  </si>
  <si>
    <t>PREMIUM NAMKEEN PISTA</t>
  </si>
  <si>
    <t>214A-2x1</t>
  </si>
  <si>
    <t>224A-2x1</t>
  </si>
  <si>
    <t>224B-2x1</t>
  </si>
  <si>
    <t>SC05</t>
  </si>
  <si>
    <t>294A-2x1</t>
  </si>
  <si>
    <t>2005-2x1</t>
  </si>
  <si>
    <t>2015-2x1</t>
  </si>
  <si>
    <t>SC06-8x12.jpeg</t>
  </si>
  <si>
    <t>225A-2x1</t>
  </si>
  <si>
    <t>235B-2x1</t>
  </si>
  <si>
    <t>275B-2x1</t>
  </si>
  <si>
    <t>245B-2x1</t>
  </si>
  <si>
    <t>265B-2x1</t>
  </si>
  <si>
    <t>215B-2x1</t>
  </si>
  <si>
    <t>235A-2x1</t>
  </si>
  <si>
    <t>2005-4x1</t>
  </si>
  <si>
    <t>235B-4x1</t>
  </si>
  <si>
    <t>215B-4x1</t>
  </si>
  <si>
    <t>235A-4x1</t>
  </si>
  <si>
    <t>SC08-8x12.jpeg</t>
  </si>
  <si>
    <t>7005-4x1</t>
  </si>
  <si>
    <t>7004-4x1</t>
  </si>
  <si>
    <t>214A-4x1</t>
  </si>
  <si>
    <t>235B-6x1</t>
  </si>
  <si>
    <t>215B-6x1</t>
  </si>
  <si>
    <t>235A-6x1</t>
  </si>
  <si>
    <t>205B-6x1</t>
  </si>
  <si>
    <t>7037-Triangle Bag</t>
  </si>
  <si>
    <t>325-6x1</t>
  </si>
  <si>
    <t>SC09-8x12.jpeg</t>
  </si>
  <si>
    <t>335-6x1</t>
  </si>
  <si>
    <t>FLAVOURED PISTA</t>
  </si>
  <si>
    <t>7005-6x1</t>
  </si>
  <si>
    <t>224B-6x1</t>
  </si>
  <si>
    <t>264A-6x1</t>
  </si>
  <si>
    <t>224A-6x1</t>
  </si>
  <si>
    <t>SC09</t>
  </si>
  <si>
    <t>MIX-7x10</t>
  </si>
  <si>
    <t>MIX-8x8</t>
  </si>
  <si>
    <t>SC12-8x12.jpeg</t>
  </si>
  <si>
    <t>025-6x1</t>
  </si>
  <si>
    <t>MIX-8x12</t>
  </si>
  <si>
    <t>MIX-10x10</t>
  </si>
  <si>
    <t>MIX-10x15</t>
  </si>
  <si>
    <t>MIX-12x12</t>
  </si>
  <si>
    <t>MIX-12x18</t>
  </si>
  <si>
    <t>SC12</t>
  </si>
  <si>
    <t>2051-11x11</t>
  </si>
  <si>
    <t>2049-11x11</t>
  </si>
  <si>
    <t>SC01-10x10.jpeg</t>
  </si>
  <si>
    <t>025-2x1</t>
  </si>
  <si>
    <t>404-10x15</t>
  </si>
  <si>
    <t>400G</t>
  </si>
  <si>
    <t>1373A-Big</t>
  </si>
  <si>
    <t>8x1</t>
  </si>
  <si>
    <t>SC04-10x10.jpeg</t>
  </si>
  <si>
    <t>1225-4+2</t>
  </si>
  <si>
    <t>1205-4+2</t>
  </si>
  <si>
    <t>1215-4+2</t>
  </si>
  <si>
    <t>MN19-10x10</t>
  </si>
  <si>
    <t>MN20-10x10</t>
  </si>
  <si>
    <t>MN21-10x10</t>
  </si>
  <si>
    <t>MN22-10x10</t>
  </si>
  <si>
    <t>MN23-10x10</t>
  </si>
  <si>
    <t>SC05-10x10.jpeg</t>
  </si>
  <si>
    <t>MN24-10x10</t>
  </si>
  <si>
    <t>MN25-12x18</t>
  </si>
  <si>
    <t>MN26-12x18</t>
  </si>
  <si>
    <t>MN27-12x18</t>
  </si>
  <si>
    <t>MN28-12x18</t>
  </si>
  <si>
    <t>MN29-11x11</t>
  </si>
  <si>
    <t>MN30-SUIT</t>
  </si>
  <si>
    <t>SC06-10x10.jpeg</t>
  </si>
  <si>
    <t>BUBBLE GUM KISHMISH</t>
  </si>
  <si>
    <t>SC08-10x10.jpeg</t>
  </si>
  <si>
    <t>MN50-4x1</t>
  </si>
  <si>
    <t>MN51-4x1</t>
  </si>
  <si>
    <t>MN52-4x1</t>
  </si>
  <si>
    <t>MAMRA BADAM</t>
  </si>
  <si>
    <t>MN52-6x1</t>
  </si>
  <si>
    <t>MN55-4+2</t>
  </si>
  <si>
    <t>MN55-6x1</t>
  </si>
  <si>
    <t>MN55-4x1</t>
  </si>
  <si>
    <t>SC09-10x10.jpeg</t>
  </si>
  <si>
    <t>MN56-4x1</t>
  </si>
  <si>
    <t>MN56-6x1</t>
  </si>
  <si>
    <t>MN59-6x1</t>
  </si>
  <si>
    <t>MN60-4x1</t>
  </si>
  <si>
    <t>MN61-4x1</t>
  </si>
  <si>
    <t>MN62-4+2</t>
  </si>
  <si>
    <t>BARBEQUE KAJU</t>
  </si>
  <si>
    <t>MN62-4+4</t>
  </si>
  <si>
    <t>MN62-4+1</t>
  </si>
  <si>
    <t>MN62-2+2</t>
  </si>
  <si>
    <t>SC10-10x10.jpeg</t>
  </si>
  <si>
    <t>MN64-2x1</t>
  </si>
  <si>
    <t>MN64-3x1</t>
  </si>
  <si>
    <t>MN64-4x1</t>
  </si>
  <si>
    <t>MN64-6x1</t>
  </si>
  <si>
    <t>MN64-4+1</t>
  </si>
  <si>
    <t>MN65-4x1</t>
  </si>
  <si>
    <t>MN65-6x1</t>
  </si>
  <si>
    <t>MN66-4x1</t>
  </si>
  <si>
    <t>MN66-6x1</t>
  </si>
  <si>
    <t>025F-8x8</t>
  </si>
  <si>
    <t>MN67-4x1</t>
  </si>
  <si>
    <t>SC11-10x10.jpeg</t>
  </si>
  <si>
    <t>SC02-10x15.jpeg</t>
  </si>
  <si>
    <t>600G</t>
  </si>
  <si>
    <t>SC02</t>
  </si>
  <si>
    <t>SC04-10x15.jpeg</t>
  </si>
  <si>
    <t>SC05-10x15.jpeg</t>
  </si>
  <si>
    <t>SC06-10x15.jpeg</t>
  </si>
  <si>
    <t>SC08-10x15.jpeg</t>
  </si>
  <si>
    <t>TH YR</t>
  </si>
  <si>
    <t>SC09-10x15.jpeg</t>
  </si>
  <si>
    <t>SC10-10x15.jpeg</t>
  </si>
  <si>
    <t>SC11-10x15.jpeg</t>
  </si>
  <si>
    <t>SPECIAL BOXES</t>
  </si>
  <si>
    <t>2005</t>
  </si>
  <si>
    <t>SC02-12x12.jpeg</t>
  </si>
  <si>
    <t>225A</t>
  </si>
  <si>
    <t>800G</t>
  </si>
  <si>
    <t>SC04-12x12.jpeg</t>
  </si>
  <si>
    <t>275B</t>
  </si>
  <si>
    <t>SC05-12x12.jpeg</t>
  </si>
  <si>
    <t>SC06-12x12.jpeg</t>
  </si>
  <si>
    <t>215B</t>
  </si>
  <si>
    <t>SC08-12x12.jpeg</t>
  </si>
  <si>
    <t>450G</t>
  </si>
  <si>
    <t>325</t>
  </si>
  <si>
    <t>SC09-12x12.jpeg</t>
  </si>
  <si>
    <t>SC10-12x12.jpeg</t>
  </si>
  <si>
    <t>335</t>
  </si>
  <si>
    <t>this yr</t>
  </si>
  <si>
    <t>214A 3 X 1.png</t>
  </si>
  <si>
    <t>SC02-12x18.jpeg</t>
  </si>
  <si>
    <t>025D</t>
  </si>
  <si>
    <t>600 G</t>
  </si>
  <si>
    <t>900G</t>
  </si>
  <si>
    <t>SC04-12x18.jpeg</t>
  </si>
  <si>
    <t>224A 3 X 1.jpg</t>
  </si>
  <si>
    <t>025A</t>
  </si>
  <si>
    <t>SC05-12x18.jpeg</t>
  </si>
  <si>
    <t>224B 3 X 1.jpg</t>
  </si>
  <si>
    <t>025I</t>
  </si>
  <si>
    <t>SC06-12x18.jpeg</t>
  </si>
  <si>
    <t>264A 3 X 1.jpg</t>
  </si>
  <si>
    <t>025E</t>
  </si>
  <si>
    <t>300 G</t>
  </si>
  <si>
    <t>SC08-12x18.jpeg</t>
  </si>
  <si>
    <t>024A-8x8</t>
  </si>
  <si>
    <t>024.A 8 X 8.png</t>
  </si>
  <si>
    <t>SC10-12x18.jpeg</t>
  </si>
  <si>
    <t>025C</t>
  </si>
  <si>
    <t>200 G</t>
  </si>
  <si>
    <t>024B-8x8</t>
  </si>
  <si>
    <t>024B 8X8.png</t>
  </si>
  <si>
    <t>025H</t>
  </si>
  <si>
    <t>S01</t>
  </si>
  <si>
    <t>024C-8x8</t>
  </si>
  <si>
    <t>024C 8 X 8.png</t>
  </si>
  <si>
    <t>025F</t>
  </si>
  <si>
    <t>S02</t>
  </si>
  <si>
    <t>024D-8x8</t>
  </si>
  <si>
    <t>024D 8 X 8.png</t>
  </si>
  <si>
    <t>025B</t>
  </si>
  <si>
    <t>S03</t>
  </si>
  <si>
    <t>029-4x1</t>
  </si>
  <si>
    <t>029 jute 4 x 1.jpg</t>
  </si>
  <si>
    <t>S04</t>
  </si>
  <si>
    <t>1035</t>
  </si>
  <si>
    <t>029-6x1</t>
  </si>
  <si>
    <t>S05</t>
  </si>
  <si>
    <t>029 jute 6 x 1.jpg</t>
  </si>
  <si>
    <t>1085</t>
  </si>
  <si>
    <t>034A-7x10</t>
  </si>
  <si>
    <t>034.A 7X10.png</t>
  </si>
  <si>
    <t>S07</t>
  </si>
  <si>
    <t>1015</t>
  </si>
  <si>
    <t>034B-7x10</t>
  </si>
  <si>
    <t>S08</t>
  </si>
  <si>
    <t>034.B 7X10.png</t>
  </si>
  <si>
    <t>034C-7x10</t>
  </si>
  <si>
    <t>034 C 7 X10.png</t>
  </si>
  <si>
    <t>1055</t>
  </si>
  <si>
    <t>S09</t>
  </si>
  <si>
    <t>034D-7x10</t>
  </si>
  <si>
    <t>034.D 7X10.png</t>
  </si>
  <si>
    <t>S10</t>
  </si>
  <si>
    <t>1025</t>
  </si>
  <si>
    <t>1004-10x10</t>
  </si>
  <si>
    <t>1004 10 X 10.png</t>
  </si>
  <si>
    <t>400 G</t>
  </si>
  <si>
    <t>S11</t>
  </si>
  <si>
    <t>101-8 X 12</t>
  </si>
  <si>
    <t>101 8x12.jpeg</t>
  </si>
  <si>
    <t>1065</t>
  </si>
  <si>
    <t>S12</t>
  </si>
  <si>
    <t>1014-10x10</t>
  </si>
  <si>
    <t>1014 10 X 10.png</t>
  </si>
  <si>
    <t>1005</t>
  </si>
  <si>
    <t>S13</t>
  </si>
  <si>
    <t>1014-12x12</t>
  </si>
  <si>
    <t>1014 12 X12.png</t>
  </si>
  <si>
    <t>1075</t>
  </si>
  <si>
    <t>S14</t>
  </si>
  <si>
    <t>S11-4x1</t>
  </si>
  <si>
    <t>800 G</t>
  </si>
  <si>
    <t>1024-10x10</t>
  </si>
  <si>
    <t>1024 10 X 10.png</t>
  </si>
  <si>
    <t>1045</t>
  </si>
  <si>
    <t>S06</t>
  </si>
  <si>
    <t>1024-12x12</t>
  </si>
  <si>
    <t>1024 12 X 12.png</t>
  </si>
  <si>
    <t>S15</t>
  </si>
  <si>
    <t>1135A</t>
  </si>
  <si>
    <t>103-11  X 11</t>
  </si>
  <si>
    <t>103 11 X 11 40 G.jpg</t>
  </si>
  <si>
    <t>1200G</t>
  </si>
  <si>
    <t>S16</t>
  </si>
  <si>
    <t>1195A</t>
  </si>
  <si>
    <t>103-12 X 18.</t>
  </si>
  <si>
    <t>103 12X18.jpeg</t>
  </si>
  <si>
    <t>S17</t>
  </si>
  <si>
    <t>1034-10x10</t>
  </si>
  <si>
    <t>1034 10 X10.png</t>
  </si>
  <si>
    <t>S18</t>
  </si>
  <si>
    <t>1185A</t>
  </si>
  <si>
    <t>1034-12x12</t>
  </si>
  <si>
    <t>1034  12 X 12.png</t>
  </si>
  <si>
    <t>1044-10x10</t>
  </si>
  <si>
    <t>214A</t>
  </si>
  <si>
    <t>1044 10 X10.png</t>
  </si>
  <si>
    <t>1155A</t>
  </si>
  <si>
    <t>1044-12x12</t>
  </si>
  <si>
    <t>1044 12 X12.png</t>
  </si>
  <si>
    <t>224A</t>
  </si>
  <si>
    <t>1054-10x10</t>
  </si>
  <si>
    <t>1054 10 X10.png</t>
  </si>
  <si>
    <t>1154</t>
  </si>
  <si>
    <t>1104-10x15</t>
  </si>
  <si>
    <t>1104 10 X 15.png</t>
  </si>
  <si>
    <t>224B</t>
  </si>
  <si>
    <t>1104-12x18</t>
  </si>
  <si>
    <t>1104 12 X 18.png</t>
  </si>
  <si>
    <t>264A</t>
  </si>
  <si>
    <t>1105A</t>
  </si>
  <si>
    <t>900 G</t>
  </si>
  <si>
    <t>1104-8x12</t>
  </si>
  <si>
    <t>1104 8 X 12.png</t>
  </si>
  <si>
    <t>1114-10x15</t>
  </si>
  <si>
    <t>1114 10 X 15.png</t>
  </si>
  <si>
    <t>1175A</t>
  </si>
  <si>
    <t>1114-12x18</t>
  </si>
  <si>
    <t>1114 12 X 18.png</t>
  </si>
  <si>
    <t>1145</t>
  </si>
  <si>
    <t>1114-8x12</t>
  </si>
  <si>
    <t>1114 8 X12.png</t>
  </si>
  <si>
    <t>214A 2 X 1.png</t>
  </si>
  <si>
    <t>111A-8 X 12</t>
  </si>
  <si>
    <t>111 A 8x12.jpeg</t>
  </si>
  <si>
    <t>224A 2 X 1.jpg</t>
  </si>
  <si>
    <t>1125A</t>
  </si>
  <si>
    <t>111B-8 X 12</t>
  </si>
  <si>
    <t>111 B 8x12.jpeg</t>
  </si>
  <si>
    <t>224B 2 X 1.jpg</t>
  </si>
  <si>
    <t>1124-10x15</t>
  </si>
  <si>
    <t>1124 10 X 15.png</t>
  </si>
  <si>
    <t>1115A</t>
  </si>
  <si>
    <t>1124-12x18</t>
  </si>
  <si>
    <t>1124 12 X 18.png</t>
  </si>
  <si>
    <t>294A  2 X 1.png</t>
  </si>
  <si>
    <t>1124-8x12</t>
  </si>
  <si>
    <t>1124 8 X 12.png</t>
  </si>
  <si>
    <t>1045A</t>
  </si>
  <si>
    <t>294A</t>
  </si>
  <si>
    <t>1134-10x15</t>
  </si>
  <si>
    <t>1134 10 X 15.png</t>
  </si>
  <si>
    <t>2015</t>
  </si>
  <si>
    <t>1075A</t>
  </si>
  <si>
    <t>1134-12x18</t>
  </si>
  <si>
    <t>1134 12 X 18.png</t>
  </si>
  <si>
    <t>235B</t>
  </si>
  <si>
    <t>1134-8x12</t>
  </si>
  <si>
    <t>1134 8 x 12.HEIC</t>
  </si>
  <si>
    <t>245B</t>
  </si>
  <si>
    <t>265B</t>
  </si>
  <si>
    <t>1015A</t>
  </si>
  <si>
    <t>1144-10x15</t>
  </si>
  <si>
    <t>235A</t>
  </si>
  <si>
    <t>1144 10 X 15.png</t>
  </si>
  <si>
    <t>1144-12x18</t>
  </si>
  <si>
    <t>1144 12 X 18.png</t>
  </si>
  <si>
    <t>1005A</t>
  </si>
  <si>
    <t>7005</t>
  </si>
  <si>
    <t>1144-8x12</t>
  </si>
  <si>
    <t>7004</t>
  </si>
  <si>
    <t>1144 8 X 12.png</t>
  </si>
  <si>
    <t>214A  4 X 1.png</t>
  </si>
  <si>
    <t>115-8 X 11</t>
  </si>
  <si>
    <t>115 8X11.jpeg</t>
  </si>
  <si>
    <t>1035A</t>
  </si>
  <si>
    <t>115-TIE BOOK</t>
  </si>
  <si>
    <t>115 TIE BOOK.jpeg</t>
  </si>
  <si>
    <t>CT-41</t>
  </si>
  <si>
    <t>142A-8 X 12</t>
  </si>
  <si>
    <t>142 A 8x12.jpeg</t>
  </si>
  <si>
    <t>205B</t>
  </si>
  <si>
    <t>162A-8 X 12</t>
  </si>
  <si>
    <t>162 A 8x12.jpeg</t>
  </si>
  <si>
    <t>224B 6 X 1.jpg</t>
  </si>
  <si>
    <t>CT-42</t>
  </si>
  <si>
    <t>172A-8 X 12</t>
  </si>
  <si>
    <t>172 A 8x12.jpeg</t>
  </si>
  <si>
    <t>1200 G</t>
  </si>
  <si>
    <t>264A 6 X 1.png</t>
  </si>
  <si>
    <t>183A-12 X 18.</t>
  </si>
  <si>
    <t>183 A 12X18.jpeg</t>
  </si>
  <si>
    <t>CT-43</t>
  </si>
  <si>
    <t>224A 6 X 1.jpg</t>
  </si>
  <si>
    <t>183A-400G</t>
  </si>
  <si>
    <t>183A 11 X 11 400 G.jpg</t>
  </si>
  <si>
    <t>NO</t>
  </si>
  <si>
    <t>183A-9x9</t>
  </si>
  <si>
    <t>MIX</t>
  </si>
  <si>
    <t>183A  9 X 9  200G.jpg</t>
  </si>
  <si>
    <t>1125</t>
  </si>
  <si>
    <t>183B-400G</t>
  </si>
  <si>
    <t>183B 11 X 11 400 G.jpg</t>
  </si>
  <si>
    <t>183B-9x9</t>
  </si>
  <si>
    <t>183B  9 X 9 200 G.jpg</t>
  </si>
  <si>
    <t>2051</t>
  </si>
  <si>
    <t>2049</t>
  </si>
  <si>
    <t>024</t>
  </si>
  <si>
    <t>183C-11x11</t>
  </si>
  <si>
    <t>183C 11 X 11 400 G.jpg</t>
  </si>
  <si>
    <t>1185</t>
  </si>
  <si>
    <t>025</t>
  </si>
  <si>
    <t>404 10 X 15.jpeg</t>
  </si>
  <si>
    <t>183C-12x18</t>
  </si>
  <si>
    <t>183 C 12 X 18.jpeg</t>
  </si>
  <si>
    <t>404</t>
  </si>
  <si>
    <t>1115</t>
  </si>
  <si>
    <t>1373A 4_1 BIG.jpg</t>
  </si>
  <si>
    <t>183C-9x9</t>
  </si>
  <si>
    <t>183 C 9 X 9 200 G.jpg</t>
  </si>
  <si>
    <t>?</t>
  </si>
  <si>
    <t>1373A</t>
  </si>
  <si>
    <t>1225</t>
  </si>
  <si>
    <t>1205</t>
  </si>
  <si>
    <t>191-8x12</t>
  </si>
  <si>
    <t>191 8x12.jpeg</t>
  </si>
  <si>
    <t>1215</t>
  </si>
  <si>
    <t>1165A</t>
  </si>
  <si>
    <t>MN19-10x10.jpg</t>
  </si>
  <si>
    <t>MN19</t>
  </si>
  <si>
    <t>MN20-10x10.PNG</t>
  </si>
  <si>
    <t>MN20</t>
  </si>
  <si>
    <t>2072B-5x1</t>
  </si>
  <si>
    <t>MN21-10x10.PNG</t>
  </si>
  <si>
    <t>2072B 5X1.jpeg</t>
  </si>
  <si>
    <t>MN21</t>
  </si>
  <si>
    <t>MN22-10x10.PNG</t>
  </si>
  <si>
    <t>2073A -5x1</t>
  </si>
  <si>
    <t>2073A  5 X 1.jpg</t>
  </si>
  <si>
    <t>1145A</t>
  </si>
  <si>
    <t>MN22</t>
  </si>
  <si>
    <t>MN23-10x10.PNG</t>
  </si>
  <si>
    <t>2073A-4x1</t>
  </si>
  <si>
    <t>2073A 4 X 1.jpg</t>
  </si>
  <si>
    <t>MN23</t>
  </si>
  <si>
    <t>MN24-10x10.PNG</t>
  </si>
  <si>
    <t>213A-3x1</t>
  </si>
  <si>
    <t>1155</t>
  </si>
  <si>
    <t>213A  3 X 1.jpg</t>
  </si>
  <si>
    <t>MN24</t>
  </si>
  <si>
    <t>MN25-12x18.PNG</t>
  </si>
  <si>
    <t>MN25</t>
  </si>
  <si>
    <t>MN26-12x18.PNG</t>
  </si>
  <si>
    <t>MN26</t>
  </si>
  <si>
    <t>MN27-12x18.PNG</t>
  </si>
  <si>
    <t>214A-6x1</t>
  </si>
  <si>
    <t>214A 6 X 1.jpg</t>
  </si>
  <si>
    <t>1165</t>
  </si>
  <si>
    <t>223A-3x1</t>
  </si>
  <si>
    <t>223A  3 X 1.jpg</t>
  </si>
  <si>
    <t>MN27</t>
  </si>
  <si>
    <t>MN28-12x18.PNG</t>
  </si>
  <si>
    <t>MN28</t>
  </si>
  <si>
    <t>MN29-11x11.PNG</t>
  </si>
  <si>
    <t>MN29</t>
  </si>
  <si>
    <t>MN30.PNG</t>
  </si>
  <si>
    <t>224A-4x1</t>
  </si>
  <si>
    <t>MN30</t>
  </si>
  <si>
    <t>SUIT</t>
  </si>
  <si>
    <t>224A 4 X 1.jpg</t>
  </si>
  <si>
    <t>MN50-4x1.jpg</t>
  </si>
  <si>
    <t>MN50</t>
  </si>
  <si>
    <t>1124</t>
  </si>
  <si>
    <t>MN51-4x1.PNG</t>
  </si>
  <si>
    <t>MN51</t>
  </si>
  <si>
    <t>MN52-4x1.jpg</t>
  </si>
  <si>
    <t>294 A-2x1</t>
  </si>
  <si>
    <t>MN52</t>
  </si>
  <si>
    <t>MN52-6x1.jpg</t>
  </si>
  <si>
    <t>224B-4x1</t>
  </si>
  <si>
    <t>224B 4 X 1.jpg</t>
  </si>
  <si>
    <t>1250G</t>
  </si>
  <si>
    <t>MN55</t>
  </si>
  <si>
    <t>MN55-6x1.PNG</t>
  </si>
  <si>
    <t>225-BACCHA</t>
  </si>
  <si>
    <t>W-225 BACCHA_.jpg</t>
  </si>
  <si>
    <t>MN56-4x1.jpg</t>
  </si>
  <si>
    <t>227-8x12</t>
  </si>
  <si>
    <t>227 8X12.jpeg</t>
  </si>
  <si>
    <t>MN56</t>
  </si>
  <si>
    <t>MN56-6x1.jpg</t>
  </si>
  <si>
    <t>2012A-2x1</t>
  </si>
  <si>
    <t>2012A 2X1.jpeg</t>
  </si>
  <si>
    <t>MN59-6x1.PNG</t>
  </si>
  <si>
    <t>MN59</t>
  </si>
  <si>
    <t>233-3x1</t>
  </si>
  <si>
    <t>MN60-4x1.PNG</t>
  </si>
  <si>
    <t>233  3 X 1.jpg</t>
  </si>
  <si>
    <t>245-11X11</t>
  </si>
  <si>
    <t>245 11 X 11.jpg</t>
  </si>
  <si>
    <t>MN60</t>
  </si>
  <si>
    <t>MN61-4x1.PNG</t>
  </si>
  <si>
    <t>245-4X1</t>
  </si>
  <si>
    <t>245(Tree stone moulding) 4 X 1.jpg</t>
  </si>
  <si>
    <t>MN61</t>
  </si>
  <si>
    <t>MN62-4+2.PNG</t>
  </si>
  <si>
    <t>246-11X11</t>
  </si>
  <si>
    <t>246 11 X 11.jpg</t>
  </si>
  <si>
    <t>1000G</t>
  </si>
  <si>
    <t>MN62</t>
  </si>
  <si>
    <t>MN62-4+4.PNG</t>
  </si>
  <si>
    <t>249-11X11</t>
  </si>
  <si>
    <t>249mehendi Diya moulding 11X 11.jpg</t>
  </si>
  <si>
    <t>1800G</t>
  </si>
  <si>
    <t>4+4</t>
  </si>
  <si>
    <t>MN62-4+1.jpg</t>
  </si>
  <si>
    <t>249-13X13X1.5</t>
  </si>
  <si>
    <t>249(MDM) 13 X 13.jpg</t>
  </si>
  <si>
    <t>4+1</t>
  </si>
  <si>
    <t>MN62-2+2.jpg</t>
  </si>
  <si>
    <t>249-8X18X1.5</t>
  </si>
  <si>
    <t>249mehnendi diyaMoulding 8 X 18.jpg</t>
  </si>
  <si>
    <t>2+2</t>
  </si>
  <si>
    <t>251-10X15X1.5</t>
  </si>
  <si>
    <t>251(copper) 10 X 15.jpg</t>
  </si>
  <si>
    <t>MN64-2x1.PNG</t>
  </si>
  <si>
    <t>251-11x11</t>
  </si>
  <si>
    <t>251(copper) 11 X 11.jpg</t>
  </si>
  <si>
    <t>MN64</t>
  </si>
  <si>
    <t>MN64-3x1.PNG</t>
  </si>
  <si>
    <t>251-8X18X1.5</t>
  </si>
  <si>
    <t>251(copper) 8 X 18.jpg</t>
  </si>
  <si>
    <t>252-11X11X1.5</t>
  </si>
  <si>
    <t>252natural lazer 11 X 11.jpg</t>
  </si>
  <si>
    <t>MN64-4x1.PNG</t>
  </si>
  <si>
    <t>261-2 X 1</t>
  </si>
  <si>
    <t>261 2X1</t>
  </si>
  <si>
    <t>MN64-6x1.jpg</t>
  </si>
  <si>
    <t>233-2x1</t>
  </si>
  <si>
    <t>233 2 X 1.jpg</t>
  </si>
  <si>
    <t>MN64-4+1.PNG</t>
  </si>
  <si>
    <t>264A-4x1</t>
  </si>
  <si>
    <t>264A 4 X1.png</t>
  </si>
  <si>
    <t>1KG</t>
  </si>
  <si>
    <t>MN65-4x1.PNG</t>
  </si>
  <si>
    <t>MN65</t>
  </si>
  <si>
    <t>MN65-6x1.PNG</t>
  </si>
  <si>
    <t>264A-2x1</t>
  </si>
  <si>
    <t>264A 2 X 1.png</t>
  </si>
  <si>
    <t>MN66-4x1.PNG</t>
  </si>
  <si>
    <t>294 A-3x1</t>
  </si>
  <si>
    <t>294A 3 X 1.png</t>
  </si>
  <si>
    <t>294 A-4x1</t>
  </si>
  <si>
    <t>MN66</t>
  </si>
  <si>
    <t>294A 4 X 1.png</t>
  </si>
  <si>
    <t>MN66-6x1.PNG</t>
  </si>
  <si>
    <t>294 A-6x1</t>
  </si>
  <si>
    <t>294A 6 X1.png</t>
  </si>
  <si>
    <t>323-6x1</t>
  </si>
  <si>
    <t>323 6 X 1.jpg</t>
  </si>
  <si>
    <t>MN67-4x1.jpg</t>
  </si>
  <si>
    <t>324-3x1</t>
  </si>
  <si>
    <t>324A 3 X 1.png</t>
  </si>
  <si>
    <t>MN67</t>
  </si>
  <si>
    <t>324-4x1</t>
  </si>
  <si>
    <t>324A 4 X 1.png</t>
  </si>
  <si>
    <t>324A-6x1</t>
  </si>
  <si>
    <t>324A 6 X 1.png</t>
  </si>
  <si>
    <t>324-8x1</t>
  </si>
  <si>
    <t>324A 8 X 1.png</t>
  </si>
  <si>
    <t>334-3x1</t>
  </si>
  <si>
    <t>334 3 X 1.png</t>
  </si>
  <si>
    <t>334-4x1</t>
  </si>
  <si>
    <t>334 4 X 1.png</t>
  </si>
  <si>
    <t>334-6x1</t>
  </si>
  <si>
    <t>334 6 X 1.png</t>
  </si>
  <si>
    <t>334-8x1</t>
  </si>
  <si>
    <t>334 8 X 1.png</t>
  </si>
  <si>
    <t>371-3 X 1</t>
  </si>
  <si>
    <t>371 3X1.jpeg</t>
  </si>
  <si>
    <t>404-10X15</t>
  </si>
  <si>
    <t>410-6 X1</t>
  </si>
  <si>
    <t>410 6X1.jpeg</t>
  </si>
  <si>
    <t>5004-10 X 10</t>
  </si>
  <si>
    <t>5004  10 X 10  400 G.jpg</t>
  </si>
  <si>
    <t>5050-6x1</t>
  </si>
  <si>
    <t>5050 6 X 1.png</t>
  </si>
  <si>
    <t>511-35 X 35 CM</t>
  </si>
  <si>
    <t>543-SMALL - BULLOCKCART</t>
  </si>
  <si>
    <t>604-11X11</t>
  </si>
  <si>
    <t>604 4jar.jpg</t>
  </si>
  <si>
    <t>609-10X10</t>
  </si>
  <si>
    <t>609 10 x 10 (PPP).jpg</t>
  </si>
  <si>
    <t>609-10X15</t>
  </si>
  <si>
    <t>609(PPP) 10 x 15.jpg</t>
  </si>
  <si>
    <t>615-11X11</t>
  </si>
  <si>
    <t>615(diya lazer) 11 X 11.jpg</t>
  </si>
  <si>
    <t>7002A-10 X 10</t>
  </si>
  <si>
    <t>7002A  10 X 10 400 G.jpg</t>
  </si>
  <si>
    <t>7003-10 X 10</t>
  </si>
  <si>
    <t>7003 10 X 10 400 G.jpg</t>
  </si>
  <si>
    <t>7005-10 X 10</t>
  </si>
  <si>
    <t>7005 10 X 10  400 G.jpg</t>
  </si>
  <si>
    <t>7008-10 X 10</t>
  </si>
  <si>
    <t>7008 10 X 10  400 G.jpg</t>
  </si>
  <si>
    <t>7009-10 X 10</t>
  </si>
  <si>
    <t>7009 10 X 10  400 G.jpg</t>
  </si>
  <si>
    <t>957-8 X 8</t>
  </si>
  <si>
    <t>957 8 X 8.jpg</t>
  </si>
  <si>
    <t>970-10 X 10</t>
  </si>
  <si>
    <t>970 10 X 10.jpg</t>
  </si>
  <si>
    <t>Big Tray-12x18</t>
  </si>
  <si>
    <t>BIG TRAY 12 x 18.HEIC</t>
  </si>
  <si>
    <t>FT 020-4x1</t>
  </si>
  <si>
    <t>FT020 4 X 1.png</t>
  </si>
  <si>
    <t>F-21-4x1</t>
  </si>
  <si>
    <t>FT021 4 X 1.png</t>
  </si>
  <si>
    <t xml:space="preserve"> </t>
  </si>
  <si>
    <t>FT 026-6x1</t>
  </si>
  <si>
    <t>FT026 6 X 1.png</t>
  </si>
  <si>
    <t>JI-08-9X18</t>
  </si>
  <si>
    <t>08 3jar2bamboo.jpg</t>
  </si>
  <si>
    <t>JI-12-13X16</t>
  </si>
  <si>
    <t>12 4jar+dibbi.jpg</t>
  </si>
  <si>
    <t>M - 302-8 X 8</t>
  </si>
  <si>
    <t>M-302 8 X 8.jpg</t>
  </si>
  <si>
    <t>ST-75</t>
  </si>
  <si>
    <t>S - 401-BACCHA</t>
  </si>
  <si>
    <t>S-401 BACCHA.jpg</t>
  </si>
  <si>
    <t>SC - 116-JARS</t>
  </si>
  <si>
    <t>SC 116 3 X 1.jpg</t>
  </si>
  <si>
    <t>TRAY-33 X 33 X 2 CM</t>
  </si>
  <si>
    <t>TRAY 33 X 33 X 2cm.jpg</t>
  </si>
  <si>
    <t>STOCK - DIWALI BOXES</t>
  </si>
  <si>
    <t>CODE</t>
  </si>
  <si>
    <t>Product Name</t>
  </si>
  <si>
    <t>Reminder</t>
  </si>
  <si>
    <t>MBQ</t>
  </si>
  <si>
    <t>Ex Stock</t>
  </si>
  <si>
    <t>Case</t>
  </si>
  <si>
    <t>Item C</t>
  </si>
  <si>
    <t>374</t>
  </si>
  <si>
    <t>025D-8x8</t>
  </si>
  <si>
    <t>025A-8x8</t>
  </si>
  <si>
    <t>7037</t>
  </si>
  <si>
    <t>Triangle Bag</t>
  </si>
  <si>
    <t>025I-8x8</t>
  </si>
  <si>
    <t>025E-8x8</t>
  </si>
  <si>
    <t>Radhe</t>
  </si>
  <si>
    <t>025C-8x8</t>
  </si>
  <si>
    <t>025H-8x8</t>
  </si>
  <si>
    <t>7045</t>
  </si>
  <si>
    <t>025B-8x8</t>
  </si>
  <si>
    <t>604A</t>
  </si>
  <si>
    <t>Small</t>
  </si>
  <si>
    <t>1035-10x10</t>
  </si>
  <si>
    <t>1085-10x10</t>
  </si>
  <si>
    <t>1015-10x10</t>
  </si>
  <si>
    <t>1055-10x10</t>
  </si>
  <si>
    <t>1025-10x10</t>
  </si>
  <si>
    <t>1065-10x10</t>
  </si>
  <si>
    <t>034B</t>
  </si>
  <si>
    <t>1005-10x10</t>
  </si>
  <si>
    <t>1075-10x10</t>
  </si>
  <si>
    <t>034A</t>
  </si>
  <si>
    <t>1045-10x10</t>
  </si>
  <si>
    <t>1135A-8x12</t>
  </si>
  <si>
    <t>034C</t>
  </si>
  <si>
    <t>CK AGAIN</t>
  </si>
  <si>
    <t>1195A-8x12</t>
  </si>
  <si>
    <t>034D</t>
  </si>
  <si>
    <t>1185A-8x12</t>
  </si>
  <si>
    <t>1155A-8x12</t>
  </si>
  <si>
    <t>024C</t>
  </si>
  <si>
    <t>1154-8x12</t>
  </si>
  <si>
    <t>1105A-8x12</t>
  </si>
  <si>
    <t>024A</t>
  </si>
  <si>
    <t>1175A-8x12</t>
  </si>
  <si>
    <t>024D</t>
  </si>
  <si>
    <t>1145-8x12</t>
  </si>
  <si>
    <t>1125A-8x12</t>
  </si>
  <si>
    <t>183B</t>
  </si>
  <si>
    <t>9x9</t>
  </si>
  <si>
    <t>1115A-8x12</t>
  </si>
  <si>
    <t>1045A-12x12</t>
  </si>
  <si>
    <t>1075A-12x12</t>
  </si>
  <si>
    <t>1015A-12x12</t>
  </si>
  <si>
    <t>183A</t>
  </si>
  <si>
    <t>1005A-12x12</t>
  </si>
  <si>
    <t>1035A-12x12</t>
  </si>
  <si>
    <t>1134</t>
  </si>
  <si>
    <t>CT-41-12x12</t>
  </si>
  <si>
    <t>CT-42-12x12</t>
  </si>
  <si>
    <t>CT-43-12x12</t>
  </si>
  <si>
    <t>1125-10x15</t>
  </si>
  <si>
    <t>1104</t>
  </si>
  <si>
    <t>1195A-10x15</t>
  </si>
  <si>
    <t>1185-10x15</t>
  </si>
  <si>
    <t>1114</t>
  </si>
  <si>
    <t>1115-10x15</t>
  </si>
  <si>
    <t>1165A-10x15</t>
  </si>
  <si>
    <t>1175A-10x15</t>
  </si>
  <si>
    <t>1144</t>
  </si>
  <si>
    <t>1145A-10x15</t>
  </si>
  <si>
    <t>1155-10x15</t>
  </si>
  <si>
    <t>1034</t>
  </si>
  <si>
    <t>1115-12x18</t>
  </si>
  <si>
    <t>1165-12x18</t>
  </si>
  <si>
    <t>no</t>
  </si>
  <si>
    <t>1155-12x18</t>
  </si>
  <si>
    <t>1145-12x18</t>
  </si>
  <si>
    <t>123</t>
  </si>
  <si>
    <t>1185-12x18</t>
  </si>
  <si>
    <t>223A</t>
  </si>
  <si>
    <t>2015-4x1</t>
  </si>
  <si>
    <t>225A-4x1</t>
  </si>
  <si>
    <t>225A-6x1</t>
  </si>
  <si>
    <t>750G</t>
  </si>
  <si>
    <t>233</t>
  </si>
  <si>
    <t>235B-3x1</t>
  </si>
  <si>
    <t>243A</t>
  </si>
  <si>
    <t>604</t>
  </si>
  <si>
    <t>275B-4x1</t>
  </si>
  <si>
    <t>615</t>
  </si>
  <si>
    <t>275B-6x1</t>
  </si>
  <si>
    <t>251</t>
  </si>
  <si>
    <t>245B-3x1</t>
  </si>
  <si>
    <t>245B-4x1</t>
  </si>
  <si>
    <t>F-21</t>
  </si>
  <si>
    <t>245B-6x1</t>
  </si>
  <si>
    <t>265B-3x1</t>
  </si>
  <si>
    <t>324</t>
  </si>
  <si>
    <t>265B-4x1</t>
  </si>
  <si>
    <t>265B-6x1</t>
  </si>
  <si>
    <t>2012A</t>
  </si>
  <si>
    <t>213A</t>
  </si>
  <si>
    <t>324A</t>
  </si>
  <si>
    <t>235A-3x1</t>
  </si>
  <si>
    <t>323</t>
  </si>
  <si>
    <t>025-3x1</t>
  </si>
  <si>
    <t>025-4x1</t>
  </si>
  <si>
    <t>ST-75-2x1</t>
  </si>
  <si>
    <t>ST-75-3x1</t>
  </si>
  <si>
    <t>ST-75-4x1</t>
  </si>
  <si>
    <t>024-3x1</t>
  </si>
  <si>
    <t>024-4x1</t>
  </si>
  <si>
    <t>024-6x1</t>
  </si>
  <si>
    <t>205B-4x1</t>
  </si>
  <si>
    <t>374-4x1</t>
  </si>
  <si>
    <t>374-6x1</t>
  </si>
  <si>
    <t>325-4x1</t>
  </si>
  <si>
    <t>335-4x1</t>
  </si>
  <si>
    <t>Radhe-Radhe</t>
  </si>
  <si>
    <t>7045-10x15</t>
  </si>
  <si>
    <t>604A-Small</t>
  </si>
  <si>
    <t>Stock In</t>
  </si>
  <si>
    <t>Date</t>
  </si>
  <si>
    <t>Quantity</t>
  </si>
  <si>
    <t>Price</t>
  </si>
  <si>
    <t>183B-12x12</t>
  </si>
  <si>
    <t>123-12x12</t>
  </si>
  <si>
    <t>243A-3x1</t>
  </si>
  <si>
    <t>604-11x11</t>
  </si>
  <si>
    <t>615-11x11</t>
  </si>
  <si>
    <t>Stock Out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</si>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</sst>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3">
    <font>
      <sz val="11.0"/>
      <color theme="1"/>
      <name val="Calibri"/>
      <scheme val="minor"/>
    </font>
    <font>
      <b/>
      <sz val="18.0"/>
      <color theme="1"/>
      <name val="Calibri"/>
    </font>
    <font>
      <b/>
      <sz val="20.0"/>
      <color theme="1"/>
      <name val="Calibri"/>
    </font>
    <font>
      <b/>
      <sz val="28.0"/>
      <color theme="1"/>
      <name val="Calibri"/>
      <scheme val="minor"/>
    </font>
    <font>
      <b/>
      <sz val="45.0"/>
      <color theme="1"/>
      <name val="Calibri"/>
      <scheme val="minor"/>
    </font>
    <font/>
    <font>
      <b/>
      <sz val="18.0"/>
      <color rgb="FF1155CC"/>
      <name val="Calibri"/>
    </font>
    <font>
      <sz val="20.0"/>
      <color theme="1"/>
      <name val="Calibri"/>
      <scheme val="minor"/>
    </font>
    <font>
      <sz val="18.0"/>
      <color theme="1"/>
      <name val="Calibri"/>
    </font>
    <font>
      <b/>
      <sz val="20.0"/>
      <color theme="1"/>
      <name val="Calibri"/>
      <scheme val="minor"/>
    </font>
    <font>
      <b/>
      <sz val="18.0"/>
      <color theme="1"/>
      <name val="Calibri"/>
      <scheme val="minor"/>
    </font>
    <font>
      <sz val="18.0"/>
      <color theme="1"/>
      <name val="Calibri"/>
      <scheme val="minor"/>
    </font>
    <font>
      <sz val="20.0"/>
      <color theme="1"/>
      <name val="Arial"/>
    </font>
    <font>
      <b/>
      <u/>
      <sz val="18.0"/>
      <color rgb="FF1155CC"/>
      <name val="Calibri"/>
    </font>
    <font>
      <sz val="14.0"/>
      <color theme="1"/>
      <name val="Calibri"/>
    </font>
    <font>
      <b/>
      <sz val="24.0"/>
      <color theme="1"/>
      <name val="Calibri"/>
      <scheme val="minor"/>
    </font>
    <font>
      <color theme="1"/>
      <name val="Calibri"/>
      <scheme val="minor"/>
    </font>
    <font>
      <b/>
      <u/>
      <sz val="18.0"/>
      <color rgb="FF1155CC"/>
      <name val="Calibri"/>
    </font>
    <font>
      <b/>
      <u/>
      <sz val="18.0"/>
      <color rgb="FF1155CC"/>
      <name val="Calibri"/>
    </font>
    <font>
      <b/>
      <u/>
      <sz val="18.0"/>
      <color rgb="FF1155CC"/>
      <name val="Calibri"/>
    </font>
    <font>
      <b/>
      <u/>
      <sz val="18.0"/>
      <color rgb="FF1155CC"/>
      <name val="Calibri"/>
    </font>
    <font>
      <sz val="18.0"/>
      <color rgb="FF1155CC"/>
      <name val="Calibri"/>
    </font>
    <font>
      <b/>
      <sz val="28.0"/>
      <color theme="1"/>
      <name val="Calibri"/>
    </font>
    <font>
      <sz val="20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color rgb="FF1155CC"/>
      <name val="Calibri"/>
      <scheme val="minor"/>
    </font>
    <font>
      <color theme="1"/>
      <name val="Calibri"/>
    </font>
    <font>
      <sz val="28.0"/>
      <color theme="1"/>
      <name val="Calibri"/>
    </font>
    <font>
      <b/>
      <sz val="14.0"/>
      <color theme="1"/>
      <name val="Calibri"/>
    </font>
    <font>
      <b/>
      <sz val="14.0"/>
      <color theme="1"/>
      <name val="Calibri"/>
      <scheme val="minor"/>
    </font>
    <font>
      <b/>
      <sz val="14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ABF8F"/>
        <bgColor rgb="FFFABF8F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readingOrder="0" vertical="bottom"/>
    </xf>
    <xf borderId="2" fillId="4" fontId="3" numFmtId="164" xfId="0" applyAlignment="1" applyBorder="1" applyFill="1" applyFont="1" applyNumberForma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5" numFmtId="0" xfId="0" applyBorder="1" applyFont="1"/>
    <xf borderId="4" fillId="2" fontId="1" numFmtId="0" xfId="0" applyAlignment="1" applyBorder="1" applyFill="1" applyFont="1">
      <alignment vertical="bottom"/>
    </xf>
    <xf borderId="6" fillId="0" fontId="5" numFmtId="0" xfId="0" applyBorder="1" applyFont="1"/>
    <xf borderId="4" fillId="2" fontId="1" numFmtId="2" xfId="0" applyAlignment="1" applyBorder="1" applyFill="1" applyFont="1" applyNumberFormat="1">
      <alignment horizontal="center" vertical="bottom"/>
    </xf>
    <xf borderId="4" fillId="0" fontId="5" numFmtId="0" xfId="0" applyBorder="1" applyFont="1"/>
    <xf borderId="4" fillId="2" fontId="1" numFmtId="0" xfId="0" applyAlignment="1" applyBorder="1" applyFill="1" applyFont="1">
      <alignment horizontal="center" vertical="bottom"/>
    </xf>
    <xf borderId="7" fillId="0" fontId="5" numFmtId="0" xfId="0" applyBorder="1" applyFont="1"/>
    <xf borderId="0" fillId="0" fontId="4" numFmtId="0" xfId="0" applyAlignment="1" applyFont="1">
      <alignment horizontal="center"/>
    </xf>
    <xf borderId="4" fillId="2" fontId="1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readingOrder="0" vertical="bottom"/>
    </xf>
    <xf borderId="4" fillId="2" fontId="6" numFmtId="0" xfId="0" applyAlignment="1" applyBorder="1" applyFill="1" applyFont="1">
      <alignment horizontal="center" vertical="bottom"/>
    </xf>
    <xf borderId="0" fillId="3" fontId="7" numFmtId="0" xfId="0" applyFill="1" applyFont="1"/>
    <xf borderId="8" fillId="0" fontId="5" numFmtId="0" xfId="0" applyBorder="1" applyFont="1"/>
    <xf borderId="9" fillId="0" fontId="5" numFmtId="0" xfId="0" applyBorder="1" applyFont="1"/>
    <xf borderId="4" fillId="2" fontId="8" numFmtId="0" xfId="0" applyAlignment="1" applyBorder="1" applyFill="1" applyFont="1">
      <alignment horizontal="left" vertical="bottom"/>
    </xf>
    <xf borderId="10" fillId="0" fontId="5" numFmtId="0" xfId="0" applyBorder="1" applyFont="1"/>
    <xf borderId="1" fillId="3" fontId="2" numFmtId="0" xfId="0" applyAlignment="1" applyBorder="1" applyFill="1" applyFont="1">
      <alignment vertical="bottom"/>
    </xf>
    <xf borderId="0" fillId="0" fontId="8" numFmtId="0" xfId="0" applyFont="1"/>
    <xf borderId="1" fillId="0" fontId="9" numFmtId="0" xfId="0" applyAlignment="1" applyBorder="1" applyFont="1">
      <alignment readingOrder="0"/>
    </xf>
    <xf borderId="11" fillId="2" fontId="8" numFmtId="0" xfId="0" applyAlignment="1" applyBorder="1" applyFill="1" applyFont="1">
      <alignment horizontal="center" vertical="bottom"/>
    </xf>
    <xf borderId="1" fillId="0" fontId="9" numFmtId="2" xfId="0" applyAlignment="1" applyBorder="1" applyFont="1" applyNumberFormat="1">
      <alignment readingOrder="0"/>
    </xf>
    <xf borderId="1" fillId="3" fontId="2" numFmtId="164" xfId="0" applyAlignment="1" applyBorder="1" applyFill="1" applyFont="1" applyNumberFormat="1">
      <alignment readingOrder="0" vertical="bottom"/>
    </xf>
    <xf borderId="3" fillId="0" fontId="10" numFmtId="0" xfId="0" applyAlignment="1" applyBorder="1" applyFont="1">
      <alignment horizontal="center" readingOrder="0"/>
    </xf>
    <xf borderId="0" fillId="0" fontId="11" numFmtId="0" xfId="0" applyFont="1"/>
    <xf borderId="11" fillId="0" fontId="8" numFmtId="0" xfId="0" applyAlignment="1" applyBorder="1" applyFont="1">
      <alignment vertical="bottom"/>
    </xf>
    <xf borderId="10" fillId="0" fontId="8" numFmtId="2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horizontal="right" readingOrder="0"/>
    </xf>
    <xf borderId="1" fillId="0" fontId="11" numFmtId="2" xfId="0" applyAlignment="1" applyBorder="1" applyFont="1" applyNumberFormat="1">
      <alignment readingOrder="0"/>
    </xf>
    <xf borderId="10" fillId="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readingOrder="0" vertical="bottom"/>
    </xf>
    <xf borderId="10" fillId="0" fontId="13" numFmtId="0" xfId="0" applyAlignment="1" applyBorder="1" applyFont="1">
      <alignment horizontal="center" readingOrder="0" vertical="bottom"/>
    </xf>
    <xf borderId="1" fillId="3" fontId="9" numFmtId="164" xfId="0" applyAlignment="1" applyBorder="1" applyFill="1" applyFont="1" applyNumberFormat="1">
      <alignment readingOrder="0"/>
    </xf>
    <xf borderId="10" fillId="0" fontId="1" numFmtId="0" xfId="0" applyAlignment="1" applyBorder="1" applyFont="1">
      <alignment horizontal="center" readingOrder="0" vertical="bottom"/>
    </xf>
    <xf borderId="10" fillId="0" fontId="8" numFmtId="49" xfId="0" applyAlignment="1" applyBorder="1" applyFont="1" applyNumberFormat="1">
      <alignment horizontal="center" readingOrder="0" vertical="bottom"/>
    </xf>
    <xf borderId="10" fillId="0" fontId="1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left" readingOrder="0" vertical="bottom"/>
    </xf>
    <xf borderId="10" fillId="0" fontId="8" numFmtId="0" xfId="0" applyAlignment="1" applyBorder="1" applyFont="1">
      <alignment readingOrder="0" vertical="bottom"/>
    </xf>
    <xf borderId="1" fillId="3" fontId="9" numFmtId="0" xfId="0" applyAlignment="1" applyBorder="1" applyFill="1" applyFont="1">
      <alignment readingOrder="0"/>
    </xf>
    <xf borderId="1" fillId="3" fontId="9" numFmtId="4" xfId="0" applyBorder="1" applyFill="1" applyFont="1" applyNumberFormat="1"/>
    <xf borderId="1" fillId="4" fontId="9" numFmtId="0" xfId="0" applyAlignment="1" applyBorder="1" applyFill="1" applyFont="1">
      <alignment readingOrder="0"/>
    </xf>
    <xf borderId="4" fillId="4" fontId="12" numFmtId="0" xfId="0" applyAlignment="1" applyBorder="1" applyFill="1" applyFont="1">
      <alignment readingOrder="0" vertical="bottom"/>
    </xf>
    <xf borderId="1" fillId="4" fontId="9" numFmtId="164" xfId="0" applyAlignment="1" applyBorder="1" applyFill="1" applyFont="1" applyNumberFormat="1">
      <alignment readingOrder="0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1" fillId="4" fontId="9" numFmtId="4" xfId="0" applyBorder="1" applyFill="1" applyFont="1" applyNumberFormat="1"/>
    <xf borderId="1" fillId="3" fontId="9" numFmtId="2" xfId="0" applyAlignment="1" applyBorder="1" applyFill="1" applyFont="1" applyNumberFormat="1">
      <alignment readingOrder="0"/>
    </xf>
    <xf borderId="1" fillId="3" fontId="9" numFmtId="4" xfId="0" applyAlignment="1" applyBorder="1" applyFill="1" applyFont="1" applyNumberFormat="1">
      <alignment readingOrder="0"/>
    </xf>
    <xf borderId="3" fillId="4" fontId="15" numFmtId="0" xfId="0" applyAlignment="1" applyBorder="1" applyFill="1" applyFont="1">
      <alignment horizontal="center" readingOrder="0"/>
    </xf>
    <xf borderId="1" fillId="4" fontId="15" numFmtId="4" xfId="0" applyAlignment="1" applyBorder="1" applyFill="1" applyFont="1" applyNumberFormat="1">
      <alignment readingOrder="0"/>
    </xf>
    <xf borderId="0" fillId="3" fontId="2" numFmtId="0" xfId="0" applyAlignment="1" applyFill="1" applyFont="1">
      <alignment vertical="bottom"/>
    </xf>
    <xf borderId="0" fillId="0" fontId="16" numFmtId="0" xfId="0" applyAlignment="1" applyFont="1">
      <alignment readingOrder="0"/>
    </xf>
    <xf borderId="1" fillId="2" fontId="1" numFmtId="0" xfId="0" applyAlignment="1" applyBorder="1" applyFill="1" applyFont="1">
      <alignment horizontal="center" vertical="bottom"/>
    </xf>
    <xf borderId="10" fillId="0" fontId="8" numFmtId="2" xfId="0" applyAlignment="1" applyBorder="1" applyFont="1" applyNumberFormat="1">
      <alignment horizontal="center" vertical="bottom"/>
    </xf>
    <xf borderId="10" fillId="0" fontId="17" numFmtId="0" xfId="0" applyAlignment="1" applyBorder="1" applyFont="1">
      <alignment horizontal="center" vertical="bottom"/>
    </xf>
    <xf borderId="1" fillId="3" fontId="7" numFmtId="0" xfId="0" applyBorder="1" applyFill="1" applyFont="1"/>
    <xf borderId="1" fillId="3" fontId="7" numFmtId="164" xfId="0" applyBorder="1" applyFill="1" applyFont="1" applyNumberFormat="1"/>
    <xf borderId="1" fillId="2" fontId="6" numFmtId="0" xfId="0" applyAlignment="1" applyBorder="1" applyFill="1" applyFont="1">
      <alignment horizontal="center" vertical="bottom"/>
    </xf>
    <xf borderId="1" fillId="0" fontId="11" numFmtId="0" xfId="0" applyBorder="1" applyFont="1"/>
    <xf borderId="1" fillId="0" fontId="18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readingOrder="0"/>
    </xf>
    <xf borderId="1" fillId="0" fontId="19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" fillId="0" fontId="20" numFmtId="0" xfId="0" applyAlignment="1" applyBorder="1" applyFont="1">
      <alignment horizontal="center" shrinkToFit="0" wrapText="1"/>
    </xf>
    <xf borderId="0" fillId="0" fontId="21" numFmtId="0" xfId="0" applyFont="1"/>
    <xf borderId="0" fillId="0" fontId="8" numFmtId="0" xfId="0" applyAlignment="1" applyFont="1">
      <alignment horizontal="left"/>
    </xf>
    <xf borderId="12" fillId="5" fontId="22" numFmtId="0" xfId="0" applyAlignment="1" applyBorder="1" applyFill="1" applyFont="1">
      <alignment horizontal="center" readingOrder="0" vertical="center"/>
    </xf>
    <xf borderId="13" fillId="0" fontId="5" numFmtId="0" xfId="0" applyBorder="1" applyFont="1"/>
    <xf borderId="14" fillId="0" fontId="5" numFmtId="0" xfId="0" applyBorder="1" applyFont="1"/>
    <xf borderId="1" fillId="6" fontId="23" numFmtId="0" xfId="0" applyBorder="1" applyFill="1" applyFont="1"/>
    <xf borderId="1" fillId="6" fontId="2" numFmtId="0" xfId="0" applyBorder="1" applyFill="1" applyFont="1"/>
    <xf borderId="15" fillId="6" fontId="23" numFmtId="0" xfId="0" applyBorder="1" applyFill="1" applyFont="1"/>
    <xf borderId="1" fillId="0" fontId="24" numFmtId="0" xfId="0" applyBorder="1" applyFont="1"/>
    <xf borderId="1" fillId="0" fontId="25" numFmtId="0" xfId="0" applyBorder="1" applyFont="1"/>
    <xf borderId="1" fillId="0" fontId="25" numFmtId="0" xfId="0" applyAlignment="1" applyBorder="1" applyFont="1">
      <alignment horizontal="right" readingOrder="0"/>
    </xf>
    <xf borderId="1" fillId="0" fontId="25" numFmtId="0" xfId="0" applyAlignment="1" applyBorder="1" applyFont="1">
      <alignment horizontal="right"/>
    </xf>
    <xf borderId="10" fillId="0" fontId="25" numFmtId="0" xfId="0" applyAlignment="1" applyBorder="1" applyFont="1">
      <alignment vertical="bottom"/>
    </xf>
    <xf borderId="1" fillId="0" fontId="25" numFmtId="0" xfId="0" applyAlignment="1" applyBorder="1" applyFont="1">
      <alignment readingOrder="0"/>
    </xf>
    <xf borderId="0" fillId="0" fontId="26" numFmtId="0" xfId="0" applyFont="1"/>
    <xf borderId="0" fillId="0" fontId="27" numFmtId="0" xfId="0" applyFont="1"/>
    <xf borderId="0" fillId="0" fontId="28" numFmtId="0" xfId="0" applyFont="1"/>
    <xf borderId="0" fillId="0" fontId="28" numFmtId="0" xfId="0" applyAlignment="1" applyFont="1">
      <alignment horizontal="left"/>
    </xf>
    <xf borderId="2" fillId="0" fontId="29" numFmtId="0" xfId="0" applyAlignment="1" applyBorder="1" applyFont="1">
      <alignment horizontal="center"/>
    </xf>
    <xf borderId="16" fillId="6" fontId="23" numFmtId="0" xfId="0" applyAlignment="1" applyBorder="1" applyFill="1" applyFont="1">
      <alignment horizontal="center"/>
    </xf>
    <xf borderId="17" fillId="6" fontId="23" numFmtId="0" xfId="0" applyAlignment="1" applyBorder="1" applyFill="1" applyFont="1">
      <alignment horizontal="center"/>
    </xf>
    <xf borderId="17" fillId="6" fontId="23" numFmtId="0" xfId="0" applyBorder="1" applyFill="1" applyFont="1"/>
    <xf borderId="1" fillId="0" fontId="30" numFmtId="0" xfId="0" applyAlignment="1" applyBorder="1" applyFont="1">
      <alignment horizontal="center" readingOrder="0"/>
    </xf>
    <xf borderId="1" fillId="0" fontId="30" numFmtId="0" xfId="0" applyAlignment="1" applyBorder="1" applyFont="1">
      <alignment readingOrder="0"/>
    </xf>
    <xf borderId="11" fillId="0" fontId="30" numFmtId="0" xfId="0" applyBorder="1" applyFont="1"/>
    <xf borderId="1" fillId="0" fontId="14" numFmtId="0" xfId="0" applyBorder="1" applyFont="1"/>
    <xf borderId="0" fillId="0" fontId="26" numFmtId="0" xfId="0" applyFont="1"/>
    <xf borderId="0" fillId="0" fontId="16" numFmtId="0" xfId="0" applyFont="1"/>
    <xf borderId="1" fillId="0" fontId="31" numFmtId="2" xfId="0" applyBorder="1" applyFont="1" applyNumberFormat="1"/>
    <xf borderId="1" fillId="6" fontId="23" numFmtId="0" xfId="0" applyAlignment="1" applyBorder="1" applyFill="1" applyFont="1">
      <alignment horizontal="center"/>
    </xf>
    <xf borderId="0" fillId="0" fontId="26" numFmtId="0" xfId="0" applyAlignment="1" applyFont="1">
      <alignment horizontal="center" readingOrder="0"/>
    </xf>
    <xf borderId="1" fillId="7" fontId="30" numFmtId="0" xfId="0" applyAlignment="1" applyBorder="1" applyFill="1" applyFont="1">
      <alignment horizontal="center" readingOrder="0"/>
    </xf>
    <xf borderId="1" fillId="0" fontId="32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/>
    </xf>
    <xf borderId="0" fillId="0" fontId="26" numFmtId="20" xfId="0" applyAlignment="1" applyFont="1" applyNumberFormat="1">
      <alignment readingOrder="0"/>
    </xf>
    <xf borderId="10" fillId="0" fontId="30" numFmtId="0" xfId="0" applyAlignment="1" applyBorder="1" applyFont="1">
      <alignment vertical="bottom"/>
    </xf>
    <xf borderId="1" fillId="0" fontId="30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'Main%20Menu'!A1" TargetMode="Externa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'Main%20Menu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485775</xdr:colOff>
      <xdr:row>0</xdr:row>
      <xdr:rowOff>-9525</xdr:rowOff>
    </xdr:from>
    <xdr:ext cx="2667000" cy="752475"/>
    <xdr:sp>
      <xdr:nvSpPr>
        <xdr:cNvPr id="3" name="Shape 3">
          <a:hlinkClick r:id="rId1"/>
        </xdr:cNvPr>
        <xdr:cNvSpPr/>
      </xdr:nvSpPr>
      <xdr:spPr>
        <a:xfrm>
          <a:off x="4026788" y="3413288"/>
          <a:ext cx="2638425" cy="7334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Go to Main</a:t>
          </a: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Menu</a:t>
          </a:r>
          <a:endParaRPr sz="2400"/>
        </a:p>
      </xdr:txBody>
    </xdr:sp>
    <xdr:clientData fLocksWithSheet="0"/>
  </xdr:oneCellAnchor>
  <xdr:oneCellAnchor>
    <xdr:from>
      <xdr:col>6</xdr:col>
      <xdr:colOff>123825</xdr:colOff>
      <xdr:row>0</xdr:row>
      <xdr:rowOff>28575</xdr:rowOff>
    </xdr:from>
    <xdr:ext cx="2028825" cy="771525"/>
    <xdr:sp>
      <xdr:nvSpPr>
        <xdr:cNvPr id="4" name="Shape 4"/>
        <xdr:cNvSpPr/>
      </xdr:nvSpPr>
      <xdr:spPr>
        <a:xfrm>
          <a:off x="4341113" y="3403763"/>
          <a:ext cx="2009775" cy="7524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PRINT</a:t>
          </a: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1ST 10 ITEMS</a:t>
          </a:r>
          <a:endParaRPr sz="18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561975</xdr:colOff>
      <xdr:row>0</xdr:row>
      <xdr:rowOff>47625</xdr:rowOff>
    </xdr:from>
    <xdr:ext cx="2362200" cy="733425"/>
    <xdr:sp>
      <xdr:nvSpPr>
        <xdr:cNvPr id="5" name="Shape 5">
          <a:hlinkClick r:id="rId1"/>
        </xdr:cNvPr>
        <xdr:cNvSpPr/>
      </xdr:nvSpPr>
      <xdr:spPr>
        <a:xfrm>
          <a:off x="4174425" y="3422813"/>
          <a:ext cx="2343150" cy="71437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Go to Main</a:t>
          </a:r>
          <a:r>
            <a:rPr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Menu</a:t>
          </a:r>
          <a:endParaRPr sz="2400"/>
        </a:p>
      </xdr:txBody>
    </xdr:sp>
    <xdr:clientData fLocksWithSheet="0"/>
  </xdr:oneCellAnchor>
  <xdr:oneCellAnchor>
    <xdr:from>
      <xdr:col>5</xdr:col>
      <xdr:colOff>428625</xdr:colOff>
      <xdr:row>0</xdr:row>
      <xdr:rowOff>19050</xdr:rowOff>
    </xdr:from>
    <xdr:ext cx="2085975" cy="828675"/>
    <xdr:sp>
      <xdr:nvSpPr>
        <xdr:cNvPr id="6" name="Shape 6"/>
        <xdr:cNvSpPr/>
      </xdr:nvSpPr>
      <xdr:spPr>
        <a:xfrm>
          <a:off x="4317300" y="3375188"/>
          <a:ext cx="2057400" cy="8096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PRINT</a:t>
          </a: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1ST 10 ITEMS</a:t>
          </a:r>
          <a:endParaRPr sz="20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esIknjg3aK3eyBqnOV8peagC25x1oyg/view?usp=drive_link" TargetMode="External"/><Relationship Id="rId42" Type="http://schemas.openxmlformats.org/officeDocument/2006/relationships/hyperlink" Target="https://drive.google.com/file/d/1DKRI55b2upddhFCvsX35rFT0LD0rS9Z8/view?usp=drive_link" TargetMode="External"/><Relationship Id="rId41" Type="http://schemas.openxmlformats.org/officeDocument/2006/relationships/hyperlink" Target="https://drive.google.com/file/d/1_91o0nhZRyb2oTVywKIZrNDqnti8OfTp/view?usp=drive_link" TargetMode="External"/><Relationship Id="rId44" Type="http://schemas.openxmlformats.org/officeDocument/2006/relationships/hyperlink" Target="https://drive.google.com/file/d/1kzzRTRHBtiWsWOF8JPQi20uf3ZitT0Fu/view?usp=drive_link" TargetMode="External"/><Relationship Id="rId43" Type="http://schemas.openxmlformats.org/officeDocument/2006/relationships/hyperlink" Target="https://drive.google.com/file/d/1ACPIV0sxBpJe5fK7bSi4YrUC-X_1GivC/view?usp=drive_link" TargetMode="External"/><Relationship Id="rId46" Type="http://schemas.openxmlformats.org/officeDocument/2006/relationships/hyperlink" Target="https://drive.google.com/file/d/1kTYGDoW21UlL7T9kKVn7SmfOfCpCqakw/view?usp=drive_link" TargetMode="External"/><Relationship Id="rId45" Type="http://schemas.openxmlformats.org/officeDocument/2006/relationships/hyperlink" Target="https://drive.google.com/file/d/1YFWO6YDqtgb9LEF6YYvM6N-Qq6f_lXrh/view?usp=drive_link" TargetMode="External"/><Relationship Id="rId107" Type="http://schemas.openxmlformats.org/officeDocument/2006/relationships/hyperlink" Target="https://drive.google.com/file/d/1brHfc1NOeeFqoNyfybI1ZYp4uc0Q7icW/view?usp=drive_link" TargetMode="External"/><Relationship Id="rId106" Type="http://schemas.openxmlformats.org/officeDocument/2006/relationships/hyperlink" Target="https://drive.google.com/file/d/1cUV_OWxAOoUYXzkI8wi6YVW5anCa4xKT/view?usp=drive_link" TargetMode="External"/><Relationship Id="rId105" Type="http://schemas.openxmlformats.org/officeDocument/2006/relationships/hyperlink" Target="https://drive.google.com/file/d/1cZxcX4w6awNx9i-SktA8nDO2vVq4j1VS/view?usp=drive_link" TargetMode="External"/><Relationship Id="rId104" Type="http://schemas.openxmlformats.org/officeDocument/2006/relationships/hyperlink" Target="https://drive.google.com/file/d/1lbPK2a9FQz7dx3m8HZVzvflIZev-zRe1/view?usp=drive_link" TargetMode="External"/><Relationship Id="rId109" Type="http://schemas.openxmlformats.org/officeDocument/2006/relationships/hyperlink" Target="https://drive.google.com/file/d/1MOLwde2XZ45ATrJAACSoX_2sAYLXTc4q/view?usp=drive_link" TargetMode="External"/><Relationship Id="rId108" Type="http://schemas.openxmlformats.org/officeDocument/2006/relationships/hyperlink" Target="https://drive.google.com/file/d/1m_gsdm-1KMwDr4LCYEZAqPLRmtYm6guS/view?usp=drive_link" TargetMode="External"/><Relationship Id="rId48" Type="http://schemas.openxmlformats.org/officeDocument/2006/relationships/hyperlink" Target="https://drive.google.com/file/d/1w9pKCZEaXy31VNtnzLgPFTMfp8RzJB0b/view?usp=drive_link" TargetMode="External"/><Relationship Id="rId47" Type="http://schemas.openxmlformats.org/officeDocument/2006/relationships/hyperlink" Target="https://drive.google.com/file/d/1VJcltHMs35vU7JO95Yaydt_bMk2zySDC/view?usp=drive_link" TargetMode="External"/><Relationship Id="rId49" Type="http://schemas.openxmlformats.org/officeDocument/2006/relationships/hyperlink" Target="https://drive.google.com/file/d/108ptFHuLG59t3_yjr2kO0N-CG-UIyCb6/view?usp=drive_link" TargetMode="External"/><Relationship Id="rId103" Type="http://schemas.openxmlformats.org/officeDocument/2006/relationships/hyperlink" Target="https://drive.google.com/file/d/1TFehtAHpVUcCTj99DDKDJ4zFobVoBrxa/view?usp=drive_link" TargetMode="External"/><Relationship Id="rId102" Type="http://schemas.openxmlformats.org/officeDocument/2006/relationships/hyperlink" Target="https://drive.google.com/file/d/1sUA0C3JeayPLj9xD--llMOHIhxhCjaPU/view?usp=drive_link" TargetMode="External"/><Relationship Id="rId101" Type="http://schemas.openxmlformats.org/officeDocument/2006/relationships/hyperlink" Target="https://drive.google.com/file/d/1jw1nkT_-fw2WQhwGZUxOFp3v7k-el0dc/view?usp=drive_link" TargetMode="External"/><Relationship Id="rId100" Type="http://schemas.openxmlformats.org/officeDocument/2006/relationships/hyperlink" Target="https://drive.google.com/file/d/1LUGyqy8FuPMECM7VzSPDn0TsT60b4Xpo/view?usp=drive_link" TargetMode="External"/><Relationship Id="rId31" Type="http://schemas.openxmlformats.org/officeDocument/2006/relationships/hyperlink" Target="https://drive.google.com/file/d/1QXv4YsGawT4jqsiuDtl-6Tl_l0ACUfl2/view?usp=drive_link" TargetMode="External"/><Relationship Id="rId30" Type="http://schemas.openxmlformats.org/officeDocument/2006/relationships/hyperlink" Target="https://drive.google.com/file/d/1NiJJiHjOhhZkTJrWK-VinTFUX0-AfkiN/view?usp=drive_link" TargetMode="External"/><Relationship Id="rId33" Type="http://schemas.openxmlformats.org/officeDocument/2006/relationships/hyperlink" Target="https://drive.google.com/file/d/1PgbezMgIXkNG_TtDMV_5yw5IpXbC0QxG/view?usp=drive_link" TargetMode="External"/><Relationship Id="rId32" Type="http://schemas.openxmlformats.org/officeDocument/2006/relationships/hyperlink" Target="https://drive.google.com/file/d/1Y7lLiSolM85jhkD6uDBLGorTwjV5oz_i/view?usp=drive_link" TargetMode="External"/><Relationship Id="rId35" Type="http://schemas.openxmlformats.org/officeDocument/2006/relationships/hyperlink" Target="https://drive.google.com/file/d/12BS43iuYM7Uux_poaPMf8dmewDoK5AoO/view?usp=drive_link" TargetMode="External"/><Relationship Id="rId34" Type="http://schemas.openxmlformats.org/officeDocument/2006/relationships/hyperlink" Target="https://drive.google.com/file/d/1L7PhRGRzZ6xVZEHuMZg3CejkYoQkPRju/view?usp=drive_link" TargetMode="External"/><Relationship Id="rId37" Type="http://schemas.openxmlformats.org/officeDocument/2006/relationships/hyperlink" Target="https://drive.google.com/file/d/1XkTTLw3n6ov6st1HFG_iOZHHFGcVY4c1/view?usp=drive_link" TargetMode="External"/><Relationship Id="rId36" Type="http://schemas.openxmlformats.org/officeDocument/2006/relationships/hyperlink" Target="https://drive.google.com/file/d/1LSyC6FDNNv0B518TulLJRo6s0T_adsob/view?usp=drive_link" TargetMode="External"/><Relationship Id="rId39" Type="http://schemas.openxmlformats.org/officeDocument/2006/relationships/hyperlink" Target="https://drive.google.com/file/d/1Kl8TvSsrhXMzbiM3S0bYeiBctluktiV5/view?usp=drive_link" TargetMode="External"/><Relationship Id="rId38" Type="http://schemas.openxmlformats.org/officeDocument/2006/relationships/hyperlink" Target="https://drive.google.com/file/d/1tXpw9FPujiJus3a7zhTv4NjKaO1nr9W7/view?usp=drive_link" TargetMode="External"/><Relationship Id="rId20" Type="http://schemas.openxmlformats.org/officeDocument/2006/relationships/hyperlink" Target="https://drive.google.com/file/d/1khCdJ5bfEggUFuBTj4EwZYRaYs6zV0m9/view?usp=drive_link" TargetMode="External"/><Relationship Id="rId22" Type="http://schemas.openxmlformats.org/officeDocument/2006/relationships/hyperlink" Target="https://drive.google.com/file/d/1I1YIX-SMo1Xgl3kILkyaed_T0hGKExZr/view?usp=drive_link" TargetMode="External"/><Relationship Id="rId21" Type="http://schemas.openxmlformats.org/officeDocument/2006/relationships/hyperlink" Target="https://drive.google.com/file/d/1K51iueJb0PDv5Mv8YBZor-Gnpe8FMw5x/view?usp=drive_link" TargetMode="External"/><Relationship Id="rId24" Type="http://schemas.openxmlformats.org/officeDocument/2006/relationships/hyperlink" Target="https://drive.google.com/file/d/1gTYKlbER24PfIN_NWPjhZY4h9B-nOPMQ/view?usp=drive_link" TargetMode="External"/><Relationship Id="rId23" Type="http://schemas.openxmlformats.org/officeDocument/2006/relationships/hyperlink" Target="https://drive.google.com/file/d/1JN47nUy78EHz6BBjTOAEKhJv8Bd4luNw/view?usp=drive_link" TargetMode="External"/><Relationship Id="rId26" Type="http://schemas.openxmlformats.org/officeDocument/2006/relationships/hyperlink" Target="https://drive.google.com/file/d/1qdEeIQkqYTbKazwjR7rWJf8npAFh_BpO/view?usp=drive_link" TargetMode="External"/><Relationship Id="rId25" Type="http://schemas.openxmlformats.org/officeDocument/2006/relationships/hyperlink" Target="https://drive.google.com/file/d/1VTdXvU-Rno4n6OGYEPtfSUJn8O2qnzPC/view?usp=drive_link" TargetMode="External"/><Relationship Id="rId28" Type="http://schemas.openxmlformats.org/officeDocument/2006/relationships/hyperlink" Target="https://drive.google.com/file/d/1Gkjjn7TlXi_5NwqT88UrKGHzGud1knY5/view?usp=drive_link" TargetMode="External"/><Relationship Id="rId27" Type="http://schemas.openxmlformats.org/officeDocument/2006/relationships/hyperlink" Target="https://drive.google.com/file/d/1WFT3_V7q5TaAgyTlBBOsqnvSaB1X0gn-/view?usp=drive_link" TargetMode="External"/><Relationship Id="rId29" Type="http://schemas.openxmlformats.org/officeDocument/2006/relationships/hyperlink" Target="https://drive.google.com/file/d/1o7-ssx9xw-HnG3bsp0RbYeK1sg52tupS/view?usp=drive_link" TargetMode="External"/><Relationship Id="rId95" Type="http://schemas.openxmlformats.org/officeDocument/2006/relationships/hyperlink" Target="https://drive.google.com/file/d/1vl9sEQytjTtF9_XcAmOhY4pF5uEsyMYr/view?usp=drive_link" TargetMode="External"/><Relationship Id="rId94" Type="http://schemas.openxmlformats.org/officeDocument/2006/relationships/hyperlink" Target="https://drive.google.com/file/d/1IoJDf7uS_uxzVkHOZ63SmQlkSk5b0BUw/view?usp=drive_link" TargetMode="External"/><Relationship Id="rId97" Type="http://schemas.openxmlformats.org/officeDocument/2006/relationships/hyperlink" Target="https://drive.google.com/file/d/1NUvLim4PAiiAEA48sXSoLptoSbj-vzoB/view?usp=drive_link" TargetMode="External"/><Relationship Id="rId96" Type="http://schemas.openxmlformats.org/officeDocument/2006/relationships/hyperlink" Target="https://drive.google.com/file/d/1bNuI6TkCBkkBbKla0471tRDqlJP0oLbV/view?usp=drive_link" TargetMode="External"/><Relationship Id="rId11" Type="http://schemas.openxmlformats.org/officeDocument/2006/relationships/hyperlink" Target="https://drive.google.com/file/d/1l2thVOfNYeO9F1esFnhyR26VI05Jq6mj/view?usp=drive_link" TargetMode="External"/><Relationship Id="rId99" Type="http://schemas.openxmlformats.org/officeDocument/2006/relationships/hyperlink" Target="https://drive.google.com/file/d/1NyCcZ6UtUOtZNEzQ-anDoV3HxW17JU0p/view?usp=drive_link" TargetMode="External"/><Relationship Id="rId10" Type="http://schemas.openxmlformats.org/officeDocument/2006/relationships/hyperlink" Target="https://drive.google.com/file/d/1NEeKYLuqTYQ3n8T_qatD5k_hWXjSYrBc/view?usp=drive_link" TargetMode="External"/><Relationship Id="rId98" Type="http://schemas.openxmlformats.org/officeDocument/2006/relationships/hyperlink" Target="https://drive.google.com/file/d/1q0AWTMQKAFLb_Ur_2-gXeyjRKIk_v7uY/view?usp=drive_link" TargetMode="External"/><Relationship Id="rId13" Type="http://schemas.openxmlformats.org/officeDocument/2006/relationships/hyperlink" Target="https://drive.google.com/file/d/1frifIHbkqcVioQUZjvL-uJtJHJcy46DV/view?usp=drive_link" TargetMode="External"/><Relationship Id="rId12" Type="http://schemas.openxmlformats.org/officeDocument/2006/relationships/hyperlink" Target="https://drive.google.com/file/d/1vuLeBlJoXjKAQbvQeMNr8tGctWKC4gXG/view?usp=drive_link" TargetMode="External"/><Relationship Id="rId91" Type="http://schemas.openxmlformats.org/officeDocument/2006/relationships/hyperlink" Target="https://drive.google.com/file/d/10XFCPjEGb8GgLvQKa-ol6gpR402aGA96/view?usp=drive_link" TargetMode="External"/><Relationship Id="rId90" Type="http://schemas.openxmlformats.org/officeDocument/2006/relationships/hyperlink" Target="https://drive.google.com/file/d/1RBEj89BSCjzr7hCaFwmpXDtwzTtotu1k/view?usp=drive_link" TargetMode="External"/><Relationship Id="rId93" Type="http://schemas.openxmlformats.org/officeDocument/2006/relationships/hyperlink" Target="https://drive.google.com/file/d/1s6RsQmOhykLHuSOV_B7t45QMnaC1vXma/view?usp=drive_link" TargetMode="External"/><Relationship Id="rId92" Type="http://schemas.openxmlformats.org/officeDocument/2006/relationships/hyperlink" Target="https://drive.google.com/file/d/1DSdwTbV67EdtpSYGlaHtpE79aw5emDwm/view?usp=drive_link" TargetMode="External"/><Relationship Id="rId15" Type="http://schemas.openxmlformats.org/officeDocument/2006/relationships/hyperlink" Target="https://drive.google.com/file/d/1wL2Q-ajpNaWKuIXyVLXAGVqtftvsXcb-/view?usp=drive_link" TargetMode="External"/><Relationship Id="rId110" Type="http://schemas.openxmlformats.org/officeDocument/2006/relationships/hyperlink" Target="https://drive.google.com/file/d/1zA5HbVRLz5Nt4vISEpU5GqpRaZTXW-7l/view?usp=drive_link" TargetMode="External"/><Relationship Id="rId14" Type="http://schemas.openxmlformats.org/officeDocument/2006/relationships/hyperlink" Target="https://drive.google.com/file/d/1fwDUkdiKSV-PmH4pApSjPIDobGEv-kqD/view?usp=drive_link" TargetMode="External"/><Relationship Id="rId17" Type="http://schemas.openxmlformats.org/officeDocument/2006/relationships/hyperlink" Target="https://drive.google.com/file/d/16-GiOj5cTd8CzvG65P-jCrwcrgyNqxCB/view?usp=drive_link" TargetMode="External"/><Relationship Id="rId16" Type="http://schemas.openxmlformats.org/officeDocument/2006/relationships/hyperlink" Target="https://drive.google.com/file/d/1L-QccwCVGNjdsbmBalCgGKNQTpkbMAmj/view?usp=drive_link" TargetMode="External"/><Relationship Id="rId19" Type="http://schemas.openxmlformats.org/officeDocument/2006/relationships/hyperlink" Target="https://drive.google.com/file/d/1ByeNkQ6vRr7pViK-x5aYITona7yNsOa8/view?usp=drive_link" TargetMode="External"/><Relationship Id="rId18" Type="http://schemas.openxmlformats.org/officeDocument/2006/relationships/hyperlink" Target="https://drive.google.com/file/d/1gV_3mHJtG5ccem4-QyfJf4qFeJShkbqK/view?usp=drive_link" TargetMode="External"/><Relationship Id="rId112" Type="http://schemas.openxmlformats.org/officeDocument/2006/relationships/drawing" Target="../drawings/drawing2.xml"/><Relationship Id="rId111" Type="http://schemas.openxmlformats.org/officeDocument/2006/relationships/hyperlink" Target="https://drive.google.com/file/d/1mNLZZhf23mE-RbvOcYIup4ec8TKWDB-E/view?usp=drive_link" TargetMode="External"/><Relationship Id="rId84" Type="http://schemas.openxmlformats.org/officeDocument/2006/relationships/hyperlink" Target="https://drive.google.com/file/d/1Vk2yCnRujtGibeTSOe-zVwo8h3YPJBe7/view?usp=drive_link" TargetMode="External"/><Relationship Id="rId83" Type="http://schemas.openxmlformats.org/officeDocument/2006/relationships/hyperlink" Target="https://drive.google.com/file/d/1OLxo2el1GEnw5KWYPHK03shC00a6Ojnb/view?usp=drive_link" TargetMode="External"/><Relationship Id="rId86" Type="http://schemas.openxmlformats.org/officeDocument/2006/relationships/hyperlink" Target="https://drive.google.com/file/d/1I2bWmgeksgKz5-0eGK-1n_cHC-gdIU2e/view?usp=drive_link" TargetMode="External"/><Relationship Id="rId85" Type="http://schemas.openxmlformats.org/officeDocument/2006/relationships/hyperlink" Target="https://drive.google.com/file/d/1HAUbyjWrZZh1Q1G6UMFF8yfzXlvgSMeP/view?usp=drive_link" TargetMode="External"/><Relationship Id="rId88" Type="http://schemas.openxmlformats.org/officeDocument/2006/relationships/hyperlink" Target="https://drive.google.com/file/d/1DdOR7WmjcR5_OxWROCL5UjMIs1xlQqoM/view?usp=drive_link" TargetMode="External"/><Relationship Id="rId87" Type="http://schemas.openxmlformats.org/officeDocument/2006/relationships/hyperlink" Target="https://drive.google.com/file/d/11BDVwTjPhQDvL8yIuG07Ubxc7LuOoyiN/view?usp=drive_link" TargetMode="External"/><Relationship Id="rId89" Type="http://schemas.openxmlformats.org/officeDocument/2006/relationships/hyperlink" Target="https://drive.google.com/file/d/1vWy06We4tx2bIvJvAOTMKb4Ji42nr4jr/view?usp=drive_link" TargetMode="External"/><Relationship Id="rId80" Type="http://schemas.openxmlformats.org/officeDocument/2006/relationships/hyperlink" Target="https://drive.google.com/file/d/1ySh_udGVOZYWohgsC1QB_S2IGDHRkQrt/view?usp=drive_link" TargetMode="External"/><Relationship Id="rId82" Type="http://schemas.openxmlformats.org/officeDocument/2006/relationships/hyperlink" Target="https://drive.google.com/file/d/1Viitf9WMkSGgzNXz3KI0PzwHwGWuVj4O/view?usp=drive_link" TargetMode="External"/><Relationship Id="rId81" Type="http://schemas.openxmlformats.org/officeDocument/2006/relationships/hyperlink" Target="https://drive.google.com/file/d/1FzshpSqHzIwWvZXiff5IcsiF7G2zsBOZ/view?usp=drive_link" TargetMode="External"/><Relationship Id="rId1" Type="http://schemas.openxmlformats.org/officeDocument/2006/relationships/hyperlink" Target="https://drive.google.com/file/d/1VZ81aPKeivKo05LaXaG_K2hbwR926fcM/view?usp=drive_link" TargetMode="External"/><Relationship Id="rId2" Type="http://schemas.openxmlformats.org/officeDocument/2006/relationships/hyperlink" Target="https://drive.google.com/file/d/13vL3MVqGo9KgcWiJxz8BJ-SUS1l7o-o8/view?usp=drive_link" TargetMode="External"/><Relationship Id="rId3" Type="http://schemas.openxmlformats.org/officeDocument/2006/relationships/hyperlink" Target="https://drive.google.com/file/d/1ATLSceRW9Rj5NxD5VWskAtG6E1iZXbCg/view?usp=drive_link" TargetMode="External"/><Relationship Id="rId4" Type="http://schemas.openxmlformats.org/officeDocument/2006/relationships/hyperlink" Target="https://drive.google.com/file/d/10UqsG4sIaSijQYvQHDPkgbMNG1EcyDDK/view?usp=drive_link" TargetMode="External"/><Relationship Id="rId9" Type="http://schemas.openxmlformats.org/officeDocument/2006/relationships/hyperlink" Target="https://drive.google.com/file/d/1dW8PzkQLX4MCZ0rxA7SgU5xDTca-R04G/view?usp=drive_link" TargetMode="External"/><Relationship Id="rId5" Type="http://schemas.openxmlformats.org/officeDocument/2006/relationships/hyperlink" Target="https://drive.google.com/file/d/1QBU_sE4lw95f7cKP8JnFkBOfEXl3y4L4/view?usp=drive_link" TargetMode="External"/><Relationship Id="rId6" Type="http://schemas.openxmlformats.org/officeDocument/2006/relationships/hyperlink" Target="https://drive.google.com/file/d/13oZKoC24VWy_OmDqp19vsndS_ahkYL95/view?usp=drive_link" TargetMode="External"/><Relationship Id="rId7" Type="http://schemas.openxmlformats.org/officeDocument/2006/relationships/hyperlink" Target="https://drive.google.com/file/d/10Cdpd8XIx2Uvbiwhc7slLey-Yv_jXNiU/view?usp=drive_link" TargetMode="External"/><Relationship Id="rId8" Type="http://schemas.openxmlformats.org/officeDocument/2006/relationships/hyperlink" Target="https://drive.google.com/file/d/1fJmgFZJR1D-Lhr_CzbJ4aWvVfGhc1lta/view?usp=drive_link" TargetMode="External"/><Relationship Id="rId73" Type="http://schemas.openxmlformats.org/officeDocument/2006/relationships/hyperlink" Target="https://drive.google.com/file/d/1Tk6t8xm3slScWejM7ELo62HHgAohldn1/view?usp=drive_link" TargetMode="External"/><Relationship Id="rId72" Type="http://schemas.openxmlformats.org/officeDocument/2006/relationships/hyperlink" Target="https://drive.google.com/file/d/1S3y2LrmVQE-B3qsCtG5WDE3uwFL11Pbg/view?usp=drive_link" TargetMode="External"/><Relationship Id="rId75" Type="http://schemas.openxmlformats.org/officeDocument/2006/relationships/hyperlink" Target="https://drive.google.com/file/d/1np3fUMzRctQkARm4TB0tM4uNqpGBjeV3/view?usp=drive_link" TargetMode="External"/><Relationship Id="rId74" Type="http://schemas.openxmlformats.org/officeDocument/2006/relationships/hyperlink" Target="https://drive.google.com/file/d/1ePFloJtLh7-SYPaQ_JSQum7Alw5r05Ev/view?usp=drive_link" TargetMode="External"/><Relationship Id="rId77" Type="http://schemas.openxmlformats.org/officeDocument/2006/relationships/hyperlink" Target="https://drive.google.com/file/d/12gZB81Vnu6V8MgEeCbRDdyN_cC9bVUFw/view?usp=drive_link" TargetMode="External"/><Relationship Id="rId76" Type="http://schemas.openxmlformats.org/officeDocument/2006/relationships/hyperlink" Target="https://drive.google.com/file/d/179P73gf3zRFEfjUesDoU0VjETdSftqmB/view?usp=drive_link" TargetMode="External"/><Relationship Id="rId79" Type="http://schemas.openxmlformats.org/officeDocument/2006/relationships/hyperlink" Target="https://drive.google.com/file/d/1Cs5JLc2wzoeMMR78kFqA4mnxuCdrILPT/view?usp=drive_link" TargetMode="External"/><Relationship Id="rId78" Type="http://schemas.openxmlformats.org/officeDocument/2006/relationships/hyperlink" Target="https://drive.google.com/file/d/1pCLmRyrkUihd6kfbwjlehzlDgUqCwjlt/view?usp=drive_link" TargetMode="External"/><Relationship Id="rId71" Type="http://schemas.openxmlformats.org/officeDocument/2006/relationships/hyperlink" Target="https://drive.google.com/file/d/1IfURcrb9Ag34LcxaDKLXHSnKaFKXl-36/view?usp=sharing" TargetMode="External"/><Relationship Id="rId70" Type="http://schemas.openxmlformats.org/officeDocument/2006/relationships/hyperlink" Target="https://drive.google.com/file/d/1_S8DmrKM5JrB_Ln6CDSQRRBtDtDadBt9/view?usp=sharing" TargetMode="External"/><Relationship Id="rId62" Type="http://schemas.openxmlformats.org/officeDocument/2006/relationships/hyperlink" Target="https://drive.google.com/file/d/1DyJGMpkl_SvysFhIUXkGBSfmUrfeMYV3/view?usp=sharing" TargetMode="External"/><Relationship Id="rId61" Type="http://schemas.openxmlformats.org/officeDocument/2006/relationships/hyperlink" Target="https://drive.google.com/file/d/1t9v0M0q_ydaMAIzzaOvYJaxFzeky09oX/view?usp=sharing" TargetMode="External"/><Relationship Id="rId64" Type="http://schemas.openxmlformats.org/officeDocument/2006/relationships/hyperlink" Target="https://drive.google.com/file/d/1MhphD8_sK1Qm8QbKQrCL9y_1wPf4rk0d/view?usp=sharing" TargetMode="External"/><Relationship Id="rId63" Type="http://schemas.openxmlformats.org/officeDocument/2006/relationships/hyperlink" Target="https://drive.google.com/file/d/1wdpRyIa9oHyeu2P6Q4BmEKrYDZer9in9/view?usp=sharing" TargetMode="External"/><Relationship Id="rId66" Type="http://schemas.openxmlformats.org/officeDocument/2006/relationships/hyperlink" Target="https://drive.google.com/file/d/1Syv3K0U69b68BNBmK_JLKALOsCiixx-V/view?usp=sharing" TargetMode="External"/><Relationship Id="rId65" Type="http://schemas.openxmlformats.org/officeDocument/2006/relationships/hyperlink" Target="https://drive.google.com/file/d/16oglb59QSvGOyxUtlbwf-bp9ywHP3K6Z/view?usp=sharing" TargetMode="External"/><Relationship Id="rId68" Type="http://schemas.openxmlformats.org/officeDocument/2006/relationships/hyperlink" Target="https://drive.google.com/file/d/1iyNVOdnq02F8ou_OPBbIZyH1m0OaHXy1/view?usp=sharing" TargetMode="External"/><Relationship Id="rId67" Type="http://schemas.openxmlformats.org/officeDocument/2006/relationships/hyperlink" Target="https://drive.google.com/file/d/1mq5D-jEFKaxtVBGOx_YYFDf2GKT4e9O_/view?usp=sharing" TargetMode="External"/><Relationship Id="rId60" Type="http://schemas.openxmlformats.org/officeDocument/2006/relationships/hyperlink" Target="https://drive.google.com/file/d/1uOw-Zf-JyG5fdEr7kGa-EHVbkblJF8EV/view?usp=sharing" TargetMode="External"/><Relationship Id="rId69" Type="http://schemas.openxmlformats.org/officeDocument/2006/relationships/hyperlink" Target="https://drive.google.com/file/d/15NwP4Dq7rOHbHxv-ibedm0zozoWX2jvm/view?usp=sharing" TargetMode="External"/><Relationship Id="rId51" Type="http://schemas.openxmlformats.org/officeDocument/2006/relationships/hyperlink" Target="https://drive.google.com/file/d/10t9NqnAL6GwdPYbGn6AOa1_sCmziXA46/view?usp=drive_link" TargetMode="External"/><Relationship Id="rId50" Type="http://schemas.openxmlformats.org/officeDocument/2006/relationships/hyperlink" Target="https://drive.google.com/file/d/1RmcB8ReQ09H7EZX3NOuX_qRGPoSxFedc/view?usp=drive_link" TargetMode="External"/><Relationship Id="rId53" Type="http://schemas.openxmlformats.org/officeDocument/2006/relationships/hyperlink" Target="https://drive.google.com/file/d/1qHJ1ZMH-KzUYn9qrKsefuHyMroOX4-7b/view?usp=drive_link" TargetMode="External"/><Relationship Id="rId52" Type="http://schemas.openxmlformats.org/officeDocument/2006/relationships/hyperlink" Target="https://drive.google.com/file/d/1KlLP8YLnU3EhrThzbb8hycmHSd8MyI70/view?usp=drive_link" TargetMode="External"/><Relationship Id="rId55" Type="http://schemas.openxmlformats.org/officeDocument/2006/relationships/hyperlink" Target="https://drive.google.com/file/d/1mUPV3zT-um6jzi1rpDPdpPxuepgIwUPg/view?usp=drive_link" TargetMode="External"/><Relationship Id="rId54" Type="http://schemas.openxmlformats.org/officeDocument/2006/relationships/hyperlink" Target="https://drive.google.com/file/d/1d9AlwyY-IunrNz1aPXRB81R7GlbY-wk6/view?usp=drive_link" TargetMode="External"/><Relationship Id="rId57" Type="http://schemas.openxmlformats.org/officeDocument/2006/relationships/hyperlink" Target="https://drive.google.com/file/d/1TVBfu1JlGL9N3Gn1ltY11FbP9GO53sPd/view?usp=drive_link" TargetMode="External"/><Relationship Id="rId56" Type="http://schemas.openxmlformats.org/officeDocument/2006/relationships/hyperlink" Target="https://drive.google.com/file/d/1mrKxLuRj6_QlPv1dgD5rsZ-ZKJRXr_Ft/view?usp=drive_link" TargetMode="External"/><Relationship Id="rId59" Type="http://schemas.openxmlformats.org/officeDocument/2006/relationships/hyperlink" Target="https://drive.google.com/file/d/1-HZqp-vKvSWgs-pzN0yuC_yn7JDMbJnE/view?usp=drive_link" TargetMode="External"/><Relationship Id="rId58" Type="http://schemas.openxmlformats.org/officeDocument/2006/relationships/hyperlink" Target="https://drive.google.com/file/d/19egb4dqQew-Eyw6N6OTbJpNii1aViVyR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1rHmXseHF8H2i2cYTxdb6v_Jgiqsqc4/view?usp=drive_link" TargetMode="External"/><Relationship Id="rId42" Type="http://schemas.openxmlformats.org/officeDocument/2006/relationships/hyperlink" Target="https://drive.google.com/file/d/12ioC1RiIeSmqJcl6Tc6TnbokQ9v8tNqg/view?usp=drive_link" TargetMode="External"/><Relationship Id="rId41" Type="http://schemas.openxmlformats.org/officeDocument/2006/relationships/hyperlink" Target="https://drive.google.com/file/d/1JK7FXDfcGEseZ5Pk1YOSNFZcO-qmMFun/view?usp=drive_link" TargetMode="External"/><Relationship Id="rId44" Type="http://schemas.openxmlformats.org/officeDocument/2006/relationships/hyperlink" Target="https://drive.google.com/file/d/1Yqhq7UVesUgCJJP67Uz3m5eITxjA26WR/view?usp=drive_link" TargetMode="External"/><Relationship Id="rId43" Type="http://schemas.openxmlformats.org/officeDocument/2006/relationships/hyperlink" Target="https://drive.google.com/file/d/1f2YbKQJr1dIiCY4IsWpXGSHYTDSIQJUv/view?usp=drive_link" TargetMode="External"/><Relationship Id="rId46" Type="http://schemas.openxmlformats.org/officeDocument/2006/relationships/hyperlink" Target="https://drive.google.com/file/d/1ttcdZjc7jwO2AbjNbZCfJ09BDZpQLyz6/view?usp=drive_link" TargetMode="External"/><Relationship Id="rId45" Type="http://schemas.openxmlformats.org/officeDocument/2006/relationships/hyperlink" Target="https://drive.google.com/file/d/1_gJ8H2HEBytTlKqwKE1LgHn98Nj8aeb4/view?usp=drive_link" TargetMode="External"/><Relationship Id="rId107" Type="http://schemas.openxmlformats.org/officeDocument/2006/relationships/hyperlink" Target="https://drive.google.com/file/d/1CxPNLQKjoKbJhW3-KCgLNTJENE4-IW1x/view?usp=drive_link" TargetMode="External"/><Relationship Id="rId106" Type="http://schemas.openxmlformats.org/officeDocument/2006/relationships/hyperlink" Target="https://drive.google.com/file/d/1S3y2LrmVQE-B3qsCtG5WDE3uwFL11Pbg/view?usp=drive_link" TargetMode="External"/><Relationship Id="rId105" Type="http://schemas.openxmlformats.org/officeDocument/2006/relationships/hyperlink" Target="https://drive.google.com/file/d/1R44ob2x34DQ5JOjBDQ5elKHDMGMXky9q/view?usp=drive_link" TargetMode="External"/><Relationship Id="rId104" Type="http://schemas.openxmlformats.org/officeDocument/2006/relationships/hyperlink" Target="https://drive.google.com/file/d/1tBbOsnaCWcgBp3ueAH4Hp03xfOag5E2A/view?usp=drive_link" TargetMode="External"/><Relationship Id="rId109" Type="http://schemas.openxmlformats.org/officeDocument/2006/relationships/hyperlink" Target="https://drive.google.com/file/d/1sLQ0-CObsGlBVqk7dP58esVsSoGX9S6s/view?usp=drive_link" TargetMode="External"/><Relationship Id="rId108" Type="http://schemas.openxmlformats.org/officeDocument/2006/relationships/hyperlink" Target="https://drive.google.com/file/d/1IaxyD5Rs32TqyMLl4A-7YdeqnVMNYWFF/view?usp=drive_link" TargetMode="External"/><Relationship Id="rId48" Type="http://schemas.openxmlformats.org/officeDocument/2006/relationships/hyperlink" Target="https://drive.google.com/file/d/1wu_-WP33qOCAErh8Qgq8iFnWkB7ahB43/view?usp=drive_link" TargetMode="External"/><Relationship Id="rId47" Type="http://schemas.openxmlformats.org/officeDocument/2006/relationships/hyperlink" Target="https://drive.google.com/file/d/1AUUmhDNJXYp_TTER2GdYWNMK4TXUBkET/view?usp=drive_link" TargetMode="External"/><Relationship Id="rId49" Type="http://schemas.openxmlformats.org/officeDocument/2006/relationships/hyperlink" Target="https://drive.google.com/file/d/1DUgxZdXQdRsA_NaBbEh-C8WENo8pHqiW/view?usp=drive_link" TargetMode="External"/><Relationship Id="rId103" Type="http://schemas.openxmlformats.org/officeDocument/2006/relationships/hyperlink" Target="https://drive.google.com/file/d/1QPT5FzdYVgyUlqpjrEWC68zE1RzVKQCZ/view?usp=drive_link" TargetMode="External"/><Relationship Id="rId102" Type="http://schemas.openxmlformats.org/officeDocument/2006/relationships/hyperlink" Target="https://drive.google.com/file/d/1rov3R51QnU10zk0XJSgrRnm_lsKIFyBS/view?usp=drive_link" TargetMode="External"/><Relationship Id="rId101" Type="http://schemas.openxmlformats.org/officeDocument/2006/relationships/hyperlink" Target="https://drive.google.com/file/d/1rO8KtXEFwMx-r5yPBGEh3txTSeqHAD3r/view?usp=drive_link" TargetMode="External"/><Relationship Id="rId100" Type="http://schemas.openxmlformats.org/officeDocument/2006/relationships/hyperlink" Target="https://drive.google.com/file/d/132PREjKX_DkPdsmdZ65KgqmclCiu5HL0/view?usp=sharing" TargetMode="External"/><Relationship Id="rId31" Type="http://schemas.openxmlformats.org/officeDocument/2006/relationships/hyperlink" Target="https://drive.google.com/file/d/13ahDbY_rc4VtWDfIB6kTTo8w4DUv_8uw/view?usp=drive_link" TargetMode="External"/><Relationship Id="rId30" Type="http://schemas.openxmlformats.org/officeDocument/2006/relationships/hyperlink" Target="https://drive.google.com/file/d/11CV9hjmjUdWxXl5Zf7Kiae15kAMEsCGu/view?usp=drive_link" TargetMode="External"/><Relationship Id="rId33" Type="http://schemas.openxmlformats.org/officeDocument/2006/relationships/hyperlink" Target="https://drive.google.com/file/d/1eubpuuw_pfSJtqzr9fE6tfjVCz826wxn/view?usp=drive_link" TargetMode="External"/><Relationship Id="rId32" Type="http://schemas.openxmlformats.org/officeDocument/2006/relationships/hyperlink" Target="https://drive.google.com/file/d/1Wdq_GS-P-FIKtdxnjEv-Cyio7BjrqhI7/view?usp=drive_link" TargetMode="External"/><Relationship Id="rId35" Type="http://schemas.openxmlformats.org/officeDocument/2006/relationships/hyperlink" Target="https://drive.google.com/file/d/1fqc8CihjyH1tmRFnnOiHFP0ApX8KoQmh/view?usp=drive_link" TargetMode="External"/><Relationship Id="rId34" Type="http://schemas.openxmlformats.org/officeDocument/2006/relationships/hyperlink" Target="https://drive.google.com/file/d/1dFfbz5ET1Gm3HQSOivHOmc2e9i7lroYN/view?usp=drive_link" TargetMode="External"/><Relationship Id="rId37" Type="http://schemas.openxmlformats.org/officeDocument/2006/relationships/hyperlink" Target="https://drive.google.com/file/d/1dYhx-Vbyy4SF0moHAP7REFV4DuF0m_du/view?usp=drive_link" TargetMode="External"/><Relationship Id="rId36" Type="http://schemas.openxmlformats.org/officeDocument/2006/relationships/hyperlink" Target="https://drive.google.com/file/d/1GD0J4egH8-uc83MGuvtYD6Xb6gVwkwY5/view?usp=drive_link" TargetMode="External"/><Relationship Id="rId39" Type="http://schemas.openxmlformats.org/officeDocument/2006/relationships/hyperlink" Target="https://drive.google.com/file/d/1j6YmoKZgYvv-xjbZLRRh6eWEykj1jKdg/view?usp=drive_link" TargetMode="External"/><Relationship Id="rId38" Type="http://schemas.openxmlformats.org/officeDocument/2006/relationships/hyperlink" Target="https://drive.google.com/file/d/1bKaege-M5roC9X7KMUAaEFLTlG788h2A/view?usp=drive_link" TargetMode="External"/><Relationship Id="rId20" Type="http://schemas.openxmlformats.org/officeDocument/2006/relationships/hyperlink" Target="https://drive.google.com/file/d/1zk3e_3zuyOC30RQmeWFZfib_he5aaljT/view?usp=drive_link" TargetMode="External"/><Relationship Id="rId22" Type="http://schemas.openxmlformats.org/officeDocument/2006/relationships/hyperlink" Target="https://drive.google.com/file/d/17esOvIb6q-wTROGcFeLiQTIc2M06QL-t/view?usp=drive_link" TargetMode="External"/><Relationship Id="rId21" Type="http://schemas.openxmlformats.org/officeDocument/2006/relationships/hyperlink" Target="https://drive.google.com/file/d/1BsP1nJ0adgJm8kKEHlxglxzguQRHE2DC/view?usp=drive_link" TargetMode="External"/><Relationship Id="rId24" Type="http://schemas.openxmlformats.org/officeDocument/2006/relationships/hyperlink" Target="https://drive.google.com/file/d/10NCTe2hPvcyjNHO1_IZJu05Uc0ISvPQ4/view?usp=drive_link" TargetMode="External"/><Relationship Id="rId23" Type="http://schemas.openxmlformats.org/officeDocument/2006/relationships/hyperlink" Target="https://drive.google.com/file/d/1luQoqFaZN4KZIXlFQZyzunRn6Bt9zH0D/view?usp=drive_link" TargetMode="External"/><Relationship Id="rId129" Type="http://schemas.openxmlformats.org/officeDocument/2006/relationships/hyperlink" Target="https://drive.google.com/file/d/14TJrTXeYUb6KC-77DB9qT6dhh-J7njU2/view?usp=drive_link" TargetMode="External"/><Relationship Id="rId128" Type="http://schemas.openxmlformats.org/officeDocument/2006/relationships/hyperlink" Target="https://drive.google.com/file/d/1QTXbxB5ltqij3OeZd7RW3vMWLwbR-Dxf/view?usp=drive_link" TargetMode="External"/><Relationship Id="rId127" Type="http://schemas.openxmlformats.org/officeDocument/2006/relationships/hyperlink" Target="https://drive.google.com/file/d/145dEMo3Uq0OWgSwpa2Q0HS8UBzHS9A1E/view?usp=drive_link" TargetMode="External"/><Relationship Id="rId126" Type="http://schemas.openxmlformats.org/officeDocument/2006/relationships/hyperlink" Target="https://drive.google.com/file/d/1fpR8iCVQucG_yNplhdIJ2FbZj1IGeKhY/view?usp=drive_link" TargetMode="External"/><Relationship Id="rId26" Type="http://schemas.openxmlformats.org/officeDocument/2006/relationships/hyperlink" Target="https://drive.google.com/file/d/1_bLO0VZbyiXX4gaaa64mBWq_CVvvAWcF/view?usp=drive_link" TargetMode="External"/><Relationship Id="rId121" Type="http://schemas.openxmlformats.org/officeDocument/2006/relationships/hyperlink" Target="https://drive.google.com/file/d/1t_Y8u0psgBHgfz3Qe8sLZhWfs8hnHPP9/view?usp=drive_link" TargetMode="External"/><Relationship Id="rId25" Type="http://schemas.openxmlformats.org/officeDocument/2006/relationships/hyperlink" Target="https://drive.google.com/file/d/117XgzsWJwrNNKt_gMpRGt3I19aAPXzAN/view?usp=drive_link" TargetMode="External"/><Relationship Id="rId120" Type="http://schemas.openxmlformats.org/officeDocument/2006/relationships/hyperlink" Target="https://drive.google.com/file/d/155Unen_6tE-LwcuWXrlDAuCOs4JAKdGA/view?usp=drive_link" TargetMode="External"/><Relationship Id="rId28" Type="http://schemas.openxmlformats.org/officeDocument/2006/relationships/hyperlink" Target="https://drive.google.com/file/d/169kI8gg3z0Es7tzTXJi02bOJHtU_WzNv/view?usp=drive_link" TargetMode="External"/><Relationship Id="rId27" Type="http://schemas.openxmlformats.org/officeDocument/2006/relationships/hyperlink" Target="https://drive.google.com/file/d/1rziz3pcYaOxQ1y8ZCRs2cEjeok1XCnE1/view?usp=drive_link" TargetMode="External"/><Relationship Id="rId125" Type="http://schemas.openxmlformats.org/officeDocument/2006/relationships/hyperlink" Target="https://drive.google.com/file/d/1f-fXb2lBymLx7CgPfOKOr2iRBoioVW46/view?usp=drive_link" TargetMode="External"/><Relationship Id="rId29" Type="http://schemas.openxmlformats.org/officeDocument/2006/relationships/hyperlink" Target="https://drive.google.com/file/d/1gQH1eT2EZFJ2rVIQ4ldYD1V1sn5HWpJf/view?usp=sharing" TargetMode="External"/><Relationship Id="rId124" Type="http://schemas.openxmlformats.org/officeDocument/2006/relationships/hyperlink" Target="https://drive.google.com/file/d/1sw108c0XS3s2dOqct4nH_VuPmaxDrT4W/view?usp=sharing" TargetMode="External"/><Relationship Id="rId123" Type="http://schemas.openxmlformats.org/officeDocument/2006/relationships/hyperlink" Target="https://drive.google.com/file/d/1VttT7BeoG35l6_f_7_kxtivWEFb096oU/view?usp=sharing" TargetMode="External"/><Relationship Id="rId122" Type="http://schemas.openxmlformats.org/officeDocument/2006/relationships/hyperlink" Target="https://drive.google.com/file/d/1ONVy1axg6cQ93MrlzfX4OKdJFJaNBA8Y/view?usp=sharing" TargetMode="External"/><Relationship Id="rId95" Type="http://schemas.openxmlformats.org/officeDocument/2006/relationships/hyperlink" Target="https://drive.google.com/file/d/1dA_LVX3V7qP4h7Ne4B2_8Pi_Jwo4LIcE/view?usp=sharing" TargetMode="External"/><Relationship Id="rId94" Type="http://schemas.openxmlformats.org/officeDocument/2006/relationships/hyperlink" Target="https://drive.google.com/file/d/1EdlaWoWj2nuS2XPQWXw3yA5eyP2WwGhV/view?usp=sharing" TargetMode="External"/><Relationship Id="rId97" Type="http://schemas.openxmlformats.org/officeDocument/2006/relationships/hyperlink" Target="https://drive.google.com/file/d/1XXxtzQoQAo6TIlmvQk0SnYDrep-5FaH-/view?usp=sharing" TargetMode="External"/><Relationship Id="rId96" Type="http://schemas.openxmlformats.org/officeDocument/2006/relationships/hyperlink" Target="https://drive.google.com/file/d/13dN6gPp-JTHgrpwMBog49S48Lxgse8_E/view?usp=drive_link" TargetMode="External"/><Relationship Id="rId11" Type="http://schemas.openxmlformats.org/officeDocument/2006/relationships/hyperlink" Target="https://drive.google.com/file/d/1ANSc4ar-aLXqYllxlY_ISuiLmw-u0BTM/view?usp=drive_link" TargetMode="External"/><Relationship Id="rId99" Type="http://schemas.openxmlformats.org/officeDocument/2006/relationships/hyperlink" Target="https://drive.google.com/file/d/1ENZoNdpj27gJLymNOIA5Hl-4cWQthnDl/view?usp=sharing" TargetMode="External"/><Relationship Id="rId10" Type="http://schemas.openxmlformats.org/officeDocument/2006/relationships/hyperlink" Target="https://drive.google.com/file/d/1rlgdFEzoxRk_Jfm-FOJP2QPZAUyWvQoA/view?usp=sharing" TargetMode="External"/><Relationship Id="rId98" Type="http://schemas.openxmlformats.org/officeDocument/2006/relationships/hyperlink" Target="https://drive.google.com/file/d/1X83h1s2KnwsqAVPeIjCtCwx2OaEAkMkJ/view?usp=sharing" TargetMode="External"/><Relationship Id="rId13" Type="http://schemas.openxmlformats.org/officeDocument/2006/relationships/hyperlink" Target="https://drive.google.com/file/d/1nH3GGWe3D3CYEJFDTuk4T8f0KAc1l05z/view?usp=drive_link" TargetMode="External"/><Relationship Id="rId12" Type="http://schemas.openxmlformats.org/officeDocument/2006/relationships/hyperlink" Target="https://drive.google.com/file/d/1VPdxjK5HWzROagYG_7Nv1TSAOmfbUAxw/view?usp=drive_link" TargetMode="External"/><Relationship Id="rId91" Type="http://schemas.openxmlformats.org/officeDocument/2006/relationships/hyperlink" Target="https://drive.google.com/file/d/1_S8DmrKM5JrB_Ln6CDSQRRBtDtDadBt9/view?usp=sharing" TargetMode="External"/><Relationship Id="rId90" Type="http://schemas.openxmlformats.org/officeDocument/2006/relationships/hyperlink" Target="https://drive.google.com/file/d/1t0igy_jPWVtsrARYI6MnXrw0VH2L_c_m/view?usp=sharing" TargetMode="External"/><Relationship Id="rId93" Type="http://schemas.openxmlformats.org/officeDocument/2006/relationships/hyperlink" Target="https://drive.google.com/file/d/1z5TwdrnjxL6pC7wyZVl-fX1XNlSbdYIr/view?usp=sharing" TargetMode="External"/><Relationship Id="rId92" Type="http://schemas.openxmlformats.org/officeDocument/2006/relationships/hyperlink" Target="https://drive.google.com/file/d/1mXyTRAJaLFLns85foe4o_mUnNHFZOees/view?usp=sharing" TargetMode="External"/><Relationship Id="rId118" Type="http://schemas.openxmlformats.org/officeDocument/2006/relationships/hyperlink" Target="https://drive.google.com/file/d/1kGgk-utYzUvyrBeBhLGKZx1uRTaF77k6/view?usp=drive_link" TargetMode="External"/><Relationship Id="rId117" Type="http://schemas.openxmlformats.org/officeDocument/2006/relationships/hyperlink" Target="https://drive.google.com/file/d/1LN7mc5jkc5o05vjOuLFvv4jV060H1hkE/view?usp=drive_link" TargetMode="External"/><Relationship Id="rId116" Type="http://schemas.openxmlformats.org/officeDocument/2006/relationships/hyperlink" Target="https://drive.google.com/file/d/1ZKZtaofvOaGRT1Oj0FRfSxIGzYRQhIF5/view?usp=drive_link" TargetMode="External"/><Relationship Id="rId115" Type="http://schemas.openxmlformats.org/officeDocument/2006/relationships/hyperlink" Target="https://drive.google.com/file/d/1g0HGWZ9HHVLynjey6NMxoNaq6ObGDOpJ/view?usp=drive_link" TargetMode="External"/><Relationship Id="rId119" Type="http://schemas.openxmlformats.org/officeDocument/2006/relationships/hyperlink" Target="https://drive.google.com/file/d/1kpRqpMeJdwTuhu6yFH-5hyct8gQY5cbI/view?usp=drive_link" TargetMode="External"/><Relationship Id="rId15" Type="http://schemas.openxmlformats.org/officeDocument/2006/relationships/hyperlink" Target="https://drive.google.com/file/d/1kILVoZQr9Lkk9Lyx2dX0TpcLzeSnW_ex/view?usp=drive_link" TargetMode="External"/><Relationship Id="rId110" Type="http://schemas.openxmlformats.org/officeDocument/2006/relationships/hyperlink" Target="https://drive.google.com/file/d/1USSPNYT9W9yNsw6gpk5AsiXkCmdMAcHN/view?usp=drive_link" TargetMode="External"/><Relationship Id="rId14" Type="http://schemas.openxmlformats.org/officeDocument/2006/relationships/hyperlink" Target="https://drive.google.com/file/d/1mKeNzX8wZZhGN40lyXehsBWu-J5xeLct/view?usp=drive_link" TargetMode="External"/><Relationship Id="rId17" Type="http://schemas.openxmlformats.org/officeDocument/2006/relationships/hyperlink" Target="https://drive.google.com/file/d/1fSqSieQrFhsRSmB54zut39W5ZVrjfutx/view?usp=drive_link" TargetMode="External"/><Relationship Id="rId16" Type="http://schemas.openxmlformats.org/officeDocument/2006/relationships/hyperlink" Target="https://drive.google.com/file/d/1LM-X_2ghxMLipbRgZf76BQoBgxBmxSlr/view?usp=drive_link" TargetMode="External"/><Relationship Id="rId19" Type="http://schemas.openxmlformats.org/officeDocument/2006/relationships/hyperlink" Target="https://drive.google.com/file/d/1FXGTjthZtbSIqoom3G3isE8vnvvv3_eB/view?usp=drive_link" TargetMode="External"/><Relationship Id="rId114" Type="http://schemas.openxmlformats.org/officeDocument/2006/relationships/hyperlink" Target="https://drive.google.com/file/d/1Q8ZKZXqYNTPxGyf6o3O8mgorj66yK_B8/view?usp=drive_link" TargetMode="External"/><Relationship Id="rId18" Type="http://schemas.openxmlformats.org/officeDocument/2006/relationships/hyperlink" Target="https://drive.google.com/file/d/1-jE3LZ4FjmJxXfA_LXLK3K2Gu5kfbpyQ/view?usp=drive_link" TargetMode="External"/><Relationship Id="rId113" Type="http://schemas.openxmlformats.org/officeDocument/2006/relationships/hyperlink" Target="https://drive.google.com/file/d/1-JUPOgIFQsktB12opk8LuHxP7wI4NrTQ/view?usp=drive_link" TargetMode="External"/><Relationship Id="rId112" Type="http://schemas.openxmlformats.org/officeDocument/2006/relationships/hyperlink" Target="https://drive.google.com/file/d/141r2T8WIoGxZrft-cSjK4H8r4jOc7igT/view?usp=drive_link" TargetMode="External"/><Relationship Id="rId111" Type="http://schemas.openxmlformats.org/officeDocument/2006/relationships/hyperlink" Target="https://drive.google.com/file/d/1_OtvwNLF1fepAbfhqbKUuGqK6NpzGELj/view?usp=drive_link" TargetMode="External"/><Relationship Id="rId84" Type="http://schemas.openxmlformats.org/officeDocument/2006/relationships/hyperlink" Target="https://drive.google.com/file/d/1TyDH4o1enpXztkYFIBy8JU1KOumeO3El/view?usp=drive_link" TargetMode="External"/><Relationship Id="rId83" Type="http://schemas.openxmlformats.org/officeDocument/2006/relationships/hyperlink" Target="https://drive.google.com/file/d/1Zy_w1-1wwxxThfRcq6CoMqgG-mF8RZMN/view?usp=drive_link" TargetMode="External"/><Relationship Id="rId86" Type="http://schemas.openxmlformats.org/officeDocument/2006/relationships/hyperlink" Target="https://drive.google.com/file/d/1fbGKUBVRhZdkEfHA9_DwV61fd_oh5FLi/view?usp=drive_link" TargetMode="External"/><Relationship Id="rId85" Type="http://schemas.openxmlformats.org/officeDocument/2006/relationships/hyperlink" Target="https://drive.google.com/file/d/1LYnB5ASwQZwa6mTQDeWkSu9y-_shgixu/view?usp=drive_link" TargetMode="External"/><Relationship Id="rId88" Type="http://schemas.openxmlformats.org/officeDocument/2006/relationships/hyperlink" Target="https://drive.google.com/file/d/1CI_IgSgIKgVbK0s1GJBMpAFQSGGPxbZJ/view?usp=drive_link" TargetMode="External"/><Relationship Id="rId87" Type="http://schemas.openxmlformats.org/officeDocument/2006/relationships/hyperlink" Target="https://drive.google.com/file/d/1pHDtRDQlh4fW2YrGuI1R9jX0Yemvq_Tt/view?usp=drive_link" TargetMode="External"/><Relationship Id="rId89" Type="http://schemas.openxmlformats.org/officeDocument/2006/relationships/hyperlink" Target="https://drive.google.com/file/d/1EpNc5igsS5Lz8sWC68W5j5cOI2zgiAlb/view?usp=drive_link" TargetMode="External"/><Relationship Id="rId80" Type="http://schemas.openxmlformats.org/officeDocument/2006/relationships/hyperlink" Target="https://drive.google.com/file/d/1jlZegE4KiDcnSmlBzWQWT2PC24biofNa/view?usp=drive_link" TargetMode="External"/><Relationship Id="rId82" Type="http://schemas.openxmlformats.org/officeDocument/2006/relationships/hyperlink" Target="https://drive.google.com/file/d/1NbCGGix6cNoMXWYutuxJDzQUaYRpnNJs/view?usp=drive_link" TargetMode="External"/><Relationship Id="rId81" Type="http://schemas.openxmlformats.org/officeDocument/2006/relationships/hyperlink" Target="https://drive.google.com/file/d/1OuQuFD8M4-2ZcVhQyKQ5Rpy_1Kp0uW9w/view?usp=drive_link" TargetMode="External"/><Relationship Id="rId1" Type="http://schemas.openxmlformats.org/officeDocument/2006/relationships/hyperlink" Target="https://drive.google.com/file/d/1uOw-Zf-JyG5fdEr7kGa-EHVbkblJF8EV/view?usp=sharing" TargetMode="External"/><Relationship Id="rId2" Type="http://schemas.openxmlformats.org/officeDocument/2006/relationships/hyperlink" Target="https://drive.google.com/file/d/1t9v0M0q_ydaMAIzzaOvYJaxFzeky09oX/view?usp=sharing" TargetMode="External"/><Relationship Id="rId3" Type="http://schemas.openxmlformats.org/officeDocument/2006/relationships/hyperlink" Target="https://drive.google.com/file/d/1DyJGMpkl_SvysFhIUXkGBSfmUrfeMYV3/view?usp=sharing" TargetMode="External"/><Relationship Id="rId4" Type="http://schemas.openxmlformats.org/officeDocument/2006/relationships/hyperlink" Target="https://drive.google.com/file/d/1wdpRyIa9oHyeu2P6Q4BmEKrYDZer9in9/view?usp=sharing" TargetMode="External"/><Relationship Id="rId9" Type="http://schemas.openxmlformats.org/officeDocument/2006/relationships/hyperlink" Target="https://drive.google.com/file/d/1-LaDw4UVktENRO2S0YCiflyq6ylVBdbk/view?usp=sharing" TargetMode="External"/><Relationship Id="rId5" Type="http://schemas.openxmlformats.org/officeDocument/2006/relationships/hyperlink" Target="https://drive.google.com/file/d/1GqtH2tbJRQf7cf37sy-aGl62Q15FwmvC/view?usp=drive_link" TargetMode="External"/><Relationship Id="rId6" Type="http://schemas.openxmlformats.org/officeDocument/2006/relationships/hyperlink" Target="https://drive.google.com/file/d/1pR-12imPkC310l-NgRYX_3Irb-atBC1i/view?usp=drive_link" TargetMode="External"/><Relationship Id="rId7" Type="http://schemas.openxmlformats.org/officeDocument/2006/relationships/hyperlink" Target="https://drive.google.com/file/d/1CkHuDHc-eHVbQ7JamYc_vH0_OYbfM8Wn/view?usp=drive_link" TargetMode="External"/><Relationship Id="rId8" Type="http://schemas.openxmlformats.org/officeDocument/2006/relationships/hyperlink" Target="https://drive.google.com/file/d/1NO6tgxGUlvzSxg5oK4n8ZWJExXmzbVjg/view?usp=drive_link" TargetMode="External"/><Relationship Id="rId73" Type="http://schemas.openxmlformats.org/officeDocument/2006/relationships/hyperlink" Target="https://drive.google.com/file/d/15NwP4Dq7rOHbHxv-ibedm0zozoWX2jvm/view?usp=sharing" TargetMode="External"/><Relationship Id="rId72" Type="http://schemas.openxmlformats.org/officeDocument/2006/relationships/hyperlink" Target="https://drive.google.com/file/d/1tvwMcWlRcsUC6iE8tI94N0Opw6M6CBIX/view?usp=sharing" TargetMode="External"/><Relationship Id="rId75" Type="http://schemas.openxmlformats.org/officeDocument/2006/relationships/hyperlink" Target="https://drive.google.com/file/d/1B14C0tEgZCDxMGiewz1tyqHzZQHeMElP/view?usp=drive_link" TargetMode="External"/><Relationship Id="rId74" Type="http://schemas.openxmlformats.org/officeDocument/2006/relationships/hyperlink" Target="https://drive.google.com/file/d/1KgGdDSMPoiF6AEuR5duXRIQTxdXLR9-v/view?usp=drive_link" TargetMode="External"/><Relationship Id="rId77" Type="http://schemas.openxmlformats.org/officeDocument/2006/relationships/hyperlink" Target="https://drive.google.com/file/d/1QHbpzjqQLH-OYoS07Z0y3LclCaWsDBxI/view?usp=drive_link" TargetMode="External"/><Relationship Id="rId76" Type="http://schemas.openxmlformats.org/officeDocument/2006/relationships/hyperlink" Target="https://drive.google.com/file/d/1vJWmqL6JXfg7EWZ61BZ1bK59eh2oYWm9/view?usp=drive_link" TargetMode="External"/><Relationship Id="rId79" Type="http://schemas.openxmlformats.org/officeDocument/2006/relationships/hyperlink" Target="https://drive.google.com/file/d/1t8fFbGqV3aYfMVVrO9f9tF5J-vasSeYz/view?usp=drive_link" TargetMode="External"/><Relationship Id="rId78" Type="http://schemas.openxmlformats.org/officeDocument/2006/relationships/hyperlink" Target="https://drive.google.com/file/d/1eIYBkzr9eqUupanvC3h6hZTeDHNK4f92/view?usp=drive_link" TargetMode="External"/><Relationship Id="rId71" Type="http://schemas.openxmlformats.org/officeDocument/2006/relationships/hyperlink" Target="https://drive.google.com/file/d/1mq5D-jEFKaxtVBGOx_YYFDf2GKT4e9O_/view?usp=sharing" TargetMode="External"/><Relationship Id="rId70" Type="http://schemas.openxmlformats.org/officeDocument/2006/relationships/hyperlink" Target="https://drive.google.com/file/d/1IfURcrb9Ag34LcxaDKLXHSnKaFKXl-36/view?usp=sharing" TargetMode="External"/><Relationship Id="rId131" Type="http://schemas.openxmlformats.org/officeDocument/2006/relationships/drawing" Target="../drawings/drawing6.xml"/><Relationship Id="rId130" Type="http://schemas.openxmlformats.org/officeDocument/2006/relationships/hyperlink" Target="https://drive.google.com/file/d/1UCiEn-_iH7lh3UYeByyaWGWIRHwjZLyo/view?usp=drive_link" TargetMode="External"/><Relationship Id="rId62" Type="http://schemas.openxmlformats.org/officeDocument/2006/relationships/hyperlink" Target="https://drive.google.com/file/d/1tTDoUuI5IsUxgBtSksxcOUaUHxzdxY6O/view?usp=drive_link" TargetMode="External"/><Relationship Id="rId61" Type="http://schemas.openxmlformats.org/officeDocument/2006/relationships/hyperlink" Target="https://drive.google.com/file/d/16QY-P-TNWpCxdjwC2RCEJTxq40NsEjon/view?usp=drive_link" TargetMode="External"/><Relationship Id="rId64" Type="http://schemas.openxmlformats.org/officeDocument/2006/relationships/hyperlink" Target="https://drive.google.com/file/d/16oglb59QSvGOyxUtlbwf-bp9ywHP3K6Z/view?usp=sharing" TargetMode="External"/><Relationship Id="rId63" Type="http://schemas.openxmlformats.org/officeDocument/2006/relationships/hyperlink" Target="https://drive.google.com/file/d/1a58czhJw6oAcjecqPoPyF2AYeLCqHZzU/view?usp=drive_link" TargetMode="External"/><Relationship Id="rId66" Type="http://schemas.openxmlformats.org/officeDocument/2006/relationships/hyperlink" Target="https://drive.google.com/file/d/1Y_-e7JEdKpBbZhbiFu2U1Coaztd6g3a9/view?usp=sharing" TargetMode="External"/><Relationship Id="rId65" Type="http://schemas.openxmlformats.org/officeDocument/2006/relationships/hyperlink" Target="https://drive.google.com/file/d/1iyNVOdnq02F8ou_OPBbIZyH1m0OaHXy1/view?usp=sharing" TargetMode="External"/><Relationship Id="rId68" Type="http://schemas.openxmlformats.org/officeDocument/2006/relationships/hyperlink" Target="https://drive.google.com/file/d/1Syv3K0U69b68BNBmK_JLKALOsCiixx-V/view?usp=sharing" TargetMode="External"/><Relationship Id="rId67" Type="http://schemas.openxmlformats.org/officeDocument/2006/relationships/hyperlink" Target="https://drive.google.com/file/d/1NtdvguN1tw_1oHo9iiaiYZwR82JtePVw/view?usp=drive_link" TargetMode="External"/><Relationship Id="rId60" Type="http://schemas.openxmlformats.org/officeDocument/2006/relationships/hyperlink" Target="https://drive.google.com/file/d/1cbr0p6h99CL9xhSBahAhzcJVb2ke8Sge/view?usp=drive_link" TargetMode="External"/><Relationship Id="rId69" Type="http://schemas.openxmlformats.org/officeDocument/2006/relationships/hyperlink" Target="https://drive.google.com/file/d/1ePWTGfQQLagJeh8DgxoEeZmAEJkXKncp/view?usp=sharing" TargetMode="External"/><Relationship Id="rId51" Type="http://schemas.openxmlformats.org/officeDocument/2006/relationships/hyperlink" Target="https://drive.google.com/file/d/11c2p6QpXJrvfuN7C0QgUQ8PH26LT85cV/view?usp=drive_link" TargetMode="External"/><Relationship Id="rId50" Type="http://schemas.openxmlformats.org/officeDocument/2006/relationships/hyperlink" Target="https://drive.google.com/file/d/1N9uhkA8Vp4ei-2rH2XXFPZIc9D9ptOKv/view?usp=drive_link" TargetMode="External"/><Relationship Id="rId53" Type="http://schemas.openxmlformats.org/officeDocument/2006/relationships/hyperlink" Target="https://drive.google.com/file/d/12B6dwuffEW0dQz1xMIg7BF2FM-vxNOpy/view?usp=drive_link" TargetMode="External"/><Relationship Id="rId52" Type="http://schemas.openxmlformats.org/officeDocument/2006/relationships/hyperlink" Target="https://drive.google.com/file/d/1HN40eI4rb7JYM2QeoG-dPKO0dBWdyLis/view?usp=drive_link" TargetMode="External"/><Relationship Id="rId55" Type="http://schemas.openxmlformats.org/officeDocument/2006/relationships/hyperlink" Target="https://drive.google.com/file/d/1B5CtlwncNhqUTfA4BGcXQbW-mKAuJuP2/view?usp=drive_link" TargetMode="External"/><Relationship Id="rId54" Type="http://schemas.openxmlformats.org/officeDocument/2006/relationships/hyperlink" Target="https://drive.google.com/file/d/1DDfeRQRp4QY3yd9gr9NoFV_tQKsVZnq5/view?usp=drive_link" TargetMode="External"/><Relationship Id="rId57" Type="http://schemas.openxmlformats.org/officeDocument/2006/relationships/hyperlink" Target="https://drive.google.com/file/d/1rpH9vSQoF15l8cddkxs1BeuRXYnrGOTE/view?usp=drive_link" TargetMode="External"/><Relationship Id="rId56" Type="http://schemas.openxmlformats.org/officeDocument/2006/relationships/hyperlink" Target="https://drive.google.com/file/d/1c_0qUGD3jw5IQTu0bP-m3Nb0evXRXOpA/view?usp=drive_link" TargetMode="External"/><Relationship Id="rId59" Type="http://schemas.openxmlformats.org/officeDocument/2006/relationships/hyperlink" Target="https://drive.google.com/file/d/1MhphD8_sK1Qm8QbKQrCL9y_1wPf4rk0d/view?usp=sharing" TargetMode="External"/><Relationship Id="rId58" Type="http://schemas.openxmlformats.org/officeDocument/2006/relationships/hyperlink" Target="https://drive.google.com/file/d/1JiNaBI5k8F0icZ3P1TZRi-ZXbdjaTGzK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8.14"/>
    <col customWidth="1" min="3" max="3" width="8.71"/>
    <col customWidth="1" min="4" max="4" width="12.57"/>
    <col customWidth="1" min="6" max="6" width="19.43"/>
    <col customWidth="1" min="7" max="7" width="8.14"/>
    <col customWidth="1" min="8" max="8" width="8.71"/>
    <col customWidth="1" min="9" max="9" width="10.71"/>
    <col customWidth="1" min="10" max="10" width="9.57"/>
    <col customWidth="1" min="11" max="11" width="12.43"/>
    <col customWidth="1" min="12" max="12" width="5.57"/>
  </cols>
  <sheetData>
    <row r="1">
      <c r="A1" s="4" t="s">
        <v>0</v>
      </c>
      <c r="B1" s="7"/>
      <c r="C1" s="7"/>
      <c r="D1" s="9"/>
      <c r="E1" s="12"/>
      <c r="F1" s="4" t="s">
        <v>10</v>
      </c>
      <c r="G1" s="7"/>
      <c r="H1" s="7"/>
      <c r="I1" s="9"/>
    </row>
    <row r="2">
      <c r="A2" s="27" t="s">
        <v>18</v>
      </c>
      <c r="B2" s="7"/>
      <c r="C2" s="7"/>
      <c r="D2" s="9"/>
      <c r="E2" s="28"/>
      <c r="F2" s="27" t="s">
        <v>18</v>
      </c>
      <c r="G2" s="7"/>
      <c r="H2" s="7"/>
      <c r="I2" s="9"/>
    </row>
    <row r="3">
      <c r="A3" s="31" t="s">
        <v>31</v>
      </c>
      <c r="B3" s="31" t="s">
        <v>27</v>
      </c>
      <c r="C3" s="32" t="s">
        <v>6</v>
      </c>
      <c r="D3" s="32" t="s">
        <v>7</v>
      </c>
      <c r="F3" s="31" t="s">
        <v>31</v>
      </c>
      <c r="G3" s="31" t="s">
        <v>27</v>
      </c>
      <c r="H3" s="32" t="s">
        <v>6</v>
      </c>
      <c r="I3" s="32" t="s">
        <v>7</v>
      </c>
    </row>
    <row r="4">
      <c r="A4" s="33" t="s">
        <v>40</v>
      </c>
      <c r="B4" s="33">
        <v>300.0</v>
      </c>
      <c r="C4" s="33" t="s">
        <v>43</v>
      </c>
      <c r="D4" s="33">
        <v>65.0</v>
      </c>
      <c r="E4" s="28"/>
      <c r="F4" s="33" t="s">
        <v>29</v>
      </c>
      <c r="G4" s="34">
        <v>1500.0</v>
      </c>
      <c r="H4" s="33" t="s">
        <v>43</v>
      </c>
      <c r="I4" s="35">
        <v>52.5</v>
      </c>
    </row>
    <row r="5">
      <c r="A5" s="33" t="s">
        <v>29</v>
      </c>
      <c r="B5" s="33">
        <v>2000.0</v>
      </c>
      <c r="C5" s="33" t="s">
        <v>43</v>
      </c>
      <c r="D5" s="33">
        <v>65.0</v>
      </c>
      <c r="E5" s="28"/>
      <c r="F5" s="33" t="s">
        <v>34</v>
      </c>
      <c r="G5" s="33">
        <v>855.0</v>
      </c>
      <c r="H5" s="33" t="s">
        <v>43</v>
      </c>
      <c r="I5" s="35">
        <v>73.5</v>
      </c>
    </row>
    <row r="6">
      <c r="A6" s="33" t="s">
        <v>34</v>
      </c>
      <c r="B6" s="33">
        <v>1440.0</v>
      </c>
      <c r="C6" s="33" t="s">
        <v>43</v>
      </c>
      <c r="D6" s="33">
        <v>115.0</v>
      </c>
      <c r="E6" s="28"/>
      <c r="F6" s="33" t="s">
        <v>37</v>
      </c>
      <c r="G6" s="33">
        <v>995.0</v>
      </c>
      <c r="H6" s="33" t="s">
        <v>43</v>
      </c>
      <c r="I6" s="35">
        <v>73.5</v>
      </c>
    </row>
    <row r="7">
      <c r="A7" s="33" t="s">
        <v>37</v>
      </c>
      <c r="B7" s="34">
        <v>110.0</v>
      </c>
      <c r="C7" s="33" t="s">
        <v>43</v>
      </c>
      <c r="D7" s="33">
        <v>115.0</v>
      </c>
      <c r="E7" s="28"/>
      <c r="F7" s="33" t="s">
        <v>45</v>
      </c>
      <c r="G7" s="33">
        <v>800.0</v>
      </c>
      <c r="H7" s="33" t="s">
        <v>43</v>
      </c>
      <c r="I7" s="35">
        <v>105.0</v>
      </c>
    </row>
    <row r="8">
      <c r="A8" s="33" t="s">
        <v>45</v>
      </c>
      <c r="B8" s="33">
        <v>540.0</v>
      </c>
      <c r="C8" s="33" t="s">
        <v>43</v>
      </c>
      <c r="D8" s="33">
        <v>130.0</v>
      </c>
      <c r="E8" s="28"/>
      <c r="F8" s="33" t="s">
        <v>48</v>
      </c>
      <c r="G8" s="33">
        <v>997.0</v>
      </c>
      <c r="H8" s="33" t="s">
        <v>43</v>
      </c>
      <c r="I8" s="35">
        <v>131.25</v>
      </c>
    </row>
    <row r="9">
      <c r="A9" s="33" t="s">
        <v>41</v>
      </c>
      <c r="B9" s="33">
        <v>100.0</v>
      </c>
      <c r="C9" s="33" t="s">
        <v>43</v>
      </c>
      <c r="D9" s="33">
        <v>130.0</v>
      </c>
      <c r="E9" s="28"/>
      <c r="F9" s="33" t="s">
        <v>53</v>
      </c>
      <c r="G9" s="33">
        <v>698.0</v>
      </c>
      <c r="H9" s="33" t="s">
        <v>43</v>
      </c>
      <c r="I9" s="35">
        <v>168.0</v>
      </c>
    </row>
    <row r="10">
      <c r="A10" s="33" t="s">
        <v>48</v>
      </c>
      <c r="B10" s="33">
        <v>70.0</v>
      </c>
      <c r="C10" s="33" t="s">
        <v>43</v>
      </c>
      <c r="D10" s="33">
        <v>130.0</v>
      </c>
      <c r="E10" s="28"/>
      <c r="F10" s="28"/>
      <c r="G10" s="28"/>
      <c r="H10" s="28"/>
      <c r="I10" s="28"/>
      <c r="J10" s="28"/>
    </row>
    <row r="11">
      <c r="A11" s="33" t="s">
        <v>53</v>
      </c>
      <c r="B11" s="33">
        <v>40.0</v>
      </c>
      <c r="C11" s="33" t="s">
        <v>43</v>
      </c>
      <c r="D11" s="33">
        <v>180.0</v>
      </c>
      <c r="E11" s="28"/>
      <c r="F11" s="28"/>
      <c r="G11" s="28"/>
      <c r="H11" s="28"/>
      <c r="I11" s="28"/>
      <c r="J11" s="28"/>
    </row>
    <row r="12">
      <c r="A12" s="27" t="s">
        <v>67</v>
      </c>
      <c r="B12" s="7"/>
      <c r="C12" s="7"/>
      <c r="D12" s="9"/>
      <c r="E12" s="28"/>
      <c r="F12" s="27" t="s">
        <v>67</v>
      </c>
      <c r="G12" s="7"/>
      <c r="H12" s="7"/>
      <c r="I12" s="9"/>
    </row>
    <row r="13">
      <c r="A13" s="31" t="s">
        <v>31</v>
      </c>
      <c r="B13" s="31" t="s">
        <v>27</v>
      </c>
      <c r="C13" s="32" t="s">
        <v>6</v>
      </c>
      <c r="D13" s="32" t="s">
        <v>7</v>
      </c>
      <c r="F13" s="31" t="s">
        <v>31</v>
      </c>
      <c r="G13" s="31" t="s">
        <v>27</v>
      </c>
      <c r="H13" s="32" t="s">
        <v>6</v>
      </c>
      <c r="I13" s="32" t="s">
        <v>7</v>
      </c>
    </row>
    <row r="14">
      <c r="A14" s="33" t="s">
        <v>3</v>
      </c>
      <c r="B14" s="33">
        <v>366.0</v>
      </c>
      <c r="C14" s="33" t="s">
        <v>43</v>
      </c>
      <c r="D14" s="33" t="s">
        <v>78</v>
      </c>
      <c r="E14" s="28"/>
      <c r="F14" s="33" t="s">
        <v>3</v>
      </c>
      <c r="G14" s="34">
        <v>300.0</v>
      </c>
      <c r="H14" s="33" t="s">
        <v>43</v>
      </c>
      <c r="I14" s="35">
        <v>178.5</v>
      </c>
    </row>
    <row r="15">
      <c r="A15" s="33" t="s">
        <v>81</v>
      </c>
      <c r="B15" s="33">
        <v>211.0</v>
      </c>
      <c r="C15" s="33" t="s">
        <v>43</v>
      </c>
      <c r="D15" s="33" t="s">
        <v>85</v>
      </c>
      <c r="E15" s="28"/>
      <c r="F15" s="33" t="s">
        <v>81</v>
      </c>
      <c r="G15" s="33">
        <v>400.0</v>
      </c>
      <c r="H15" s="33" t="s">
        <v>43</v>
      </c>
      <c r="I15" s="35">
        <v>220.5</v>
      </c>
    </row>
    <row r="16">
      <c r="A16" s="33" t="s">
        <v>90</v>
      </c>
      <c r="B16" s="33">
        <v>72.0</v>
      </c>
      <c r="C16" s="33" t="s">
        <v>43</v>
      </c>
      <c r="D16" s="33">
        <v>630.0</v>
      </c>
      <c r="E16" s="28"/>
      <c r="F16" s="33" t="s">
        <v>93</v>
      </c>
      <c r="G16" s="33">
        <v>250.0</v>
      </c>
      <c r="H16" s="33" t="s">
        <v>43</v>
      </c>
      <c r="I16" s="35">
        <v>299.25</v>
      </c>
    </row>
    <row r="17">
      <c r="A17" s="33" t="s">
        <v>93</v>
      </c>
      <c r="B17" s="33">
        <v>197.0</v>
      </c>
      <c r="C17" s="33" t="s">
        <v>43</v>
      </c>
      <c r="D17" s="33" t="s">
        <v>97</v>
      </c>
      <c r="E17" s="28"/>
      <c r="F17" s="33" t="s">
        <v>99</v>
      </c>
      <c r="G17" s="33">
        <v>50.0</v>
      </c>
      <c r="H17" s="33" t="s">
        <v>43</v>
      </c>
      <c r="I17" s="35">
        <v>299.25</v>
      </c>
    </row>
    <row r="18">
      <c r="A18" s="33" t="s">
        <v>100</v>
      </c>
      <c r="B18" s="33">
        <v>361.0</v>
      </c>
      <c r="C18" s="33" t="s">
        <v>43</v>
      </c>
      <c r="D18" s="33" t="s">
        <v>102</v>
      </c>
      <c r="E18" s="28"/>
      <c r="F18" s="33" t="s">
        <v>100</v>
      </c>
      <c r="G18" s="33">
        <v>399.0</v>
      </c>
      <c r="H18" s="33" t="s">
        <v>43</v>
      </c>
      <c r="I18" s="35">
        <v>393.75</v>
      </c>
    </row>
    <row r="19">
      <c r="A19" s="33" t="s">
        <v>104</v>
      </c>
      <c r="B19" s="33">
        <v>60.0</v>
      </c>
      <c r="C19" s="33" t="s">
        <v>43</v>
      </c>
      <c r="D19" s="33"/>
      <c r="E19" s="28"/>
      <c r="F19" s="28"/>
      <c r="G19" s="28"/>
      <c r="H19" s="28"/>
      <c r="I19" s="28"/>
    </row>
    <row r="20">
      <c r="A20" s="28"/>
      <c r="B20" s="28"/>
      <c r="C20" s="28"/>
      <c r="D20" s="28"/>
      <c r="E20" s="28"/>
      <c r="F20" s="28"/>
      <c r="G20" s="28"/>
      <c r="H20" s="28"/>
      <c r="I20" s="28"/>
    </row>
    <row r="21">
      <c r="A21" s="28"/>
      <c r="B21" s="28"/>
      <c r="C21" s="28"/>
      <c r="D21" s="28"/>
      <c r="E21" s="28"/>
      <c r="F21" s="28"/>
      <c r="G21" s="28"/>
      <c r="H21" s="28"/>
      <c r="I21" s="28"/>
    </row>
    <row r="22">
      <c r="A22" s="28"/>
      <c r="B22" s="28"/>
      <c r="C22" s="28"/>
      <c r="D22" s="28"/>
      <c r="E22" s="28"/>
    </row>
    <row r="23">
      <c r="A23" s="28"/>
      <c r="B23" s="28"/>
      <c r="C23" s="28"/>
      <c r="D23" s="28"/>
      <c r="E23" s="28"/>
    </row>
    <row r="24">
      <c r="A24" s="28"/>
      <c r="B24" s="28"/>
      <c r="C24" s="28"/>
      <c r="D24" s="28"/>
      <c r="E24" s="28"/>
    </row>
    <row r="25">
      <c r="A25" s="28"/>
      <c r="B25" s="28"/>
      <c r="C25" s="28"/>
      <c r="D25" s="28"/>
      <c r="E25" s="28"/>
    </row>
    <row r="26">
      <c r="A26" s="28"/>
      <c r="B26" s="28"/>
      <c r="C26" s="28"/>
      <c r="D26" s="28"/>
      <c r="E26" s="28"/>
    </row>
    <row r="27">
      <c r="A27" s="28"/>
      <c r="B27" s="28"/>
      <c r="C27" s="28"/>
      <c r="D27" s="28"/>
      <c r="E27" s="28"/>
    </row>
    <row r="28">
      <c r="A28" s="28"/>
      <c r="B28" s="28"/>
      <c r="C28" s="28"/>
      <c r="D28" s="28"/>
      <c r="E28" s="28"/>
    </row>
    <row r="29">
      <c r="A29" s="28"/>
      <c r="B29" s="28"/>
      <c r="C29" s="28"/>
      <c r="D29" s="28"/>
      <c r="E29" s="28"/>
    </row>
    <row r="30">
      <c r="A30" s="28"/>
      <c r="B30" s="28"/>
      <c r="C30" s="28"/>
      <c r="D30" s="28"/>
      <c r="E30" s="28"/>
    </row>
    <row r="31">
      <c r="A31" s="28"/>
      <c r="B31" s="28"/>
      <c r="C31" s="28"/>
      <c r="D31" s="28"/>
      <c r="E31" s="28"/>
    </row>
    <row r="32">
      <c r="A32" s="28"/>
      <c r="B32" s="28"/>
      <c r="C32" s="28"/>
      <c r="D32" s="28"/>
      <c r="E32" s="28"/>
    </row>
    <row r="33">
      <c r="A33" s="28"/>
      <c r="B33" s="28"/>
      <c r="C33" s="28"/>
      <c r="D33" s="28"/>
      <c r="E33" s="28"/>
    </row>
    <row r="34">
      <c r="A34" s="28"/>
      <c r="B34" s="28"/>
      <c r="C34" s="28"/>
      <c r="D34" s="28"/>
      <c r="E34" s="28"/>
    </row>
    <row r="35">
      <c r="A35" s="28"/>
      <c r="B35" s="28"/>
      <c r="C35" s="28"/>
      <c r="D35" s="28"/>
      <c r="E35" s="28"/>
    </row>
    <row r="36">
      <c r="A36" s="28"/>
      <c r="B36" s="28"/>
      <c r="C36" s="28"/>
      <c r="D36" s="28"/>
      <c r="E36" s="28"/>
    </row>
    <row r="37">
      <c r="A37" s="28"/>
      <c r="B37" s="28"/>
      <c r="C37" s="28"/>
      <c r="D37" s="28"/>
      <c r="E37" s="28"/>
    </row>
    <row r="38">
      <c r="A38" s="28"/>
      <c r="B38" s="28"/>
      <c r="C38" s="28"/>
      <c r="D38" s="28"/>
      <c r="E38" s="28"/>
    </row>
    <row r="39">
      <c r="A39" s="28"/>
      <c r="B39" s="28"/>
      <c r="C39" s="28"/>
      <c r="D39" s="28"/>
      <c r="E39" s="28"/>
    </row>
    <row r="40">
      <c r="A40" s="28"/>
      <c r="B40" s="28"/>
      <c r="C40" s="28"/>
      <c r="D40" s="28"/>
      <c r="E40" s="28"/>
      <c r="F40" s="28"/>
      <c r="G40" s="28"/>
      <c r="H40" s="28"/>
    </row>
    <row r="41">
      <c r="A41" s="28"/>
      <c r="B41" s="28"/>
      <c r="C41" s="28"/>
      <c r="D41" s="28"/>
      <c r="E41" s="28"/>
      <c r="F41" s="28"/>
      <c r="G41" s="28"/>
      <c r="H41" s="28"/>
    </row>
    <row r="42">
      <c r="A42" s="28"/>
      <c r="B42" s="28"/>
      <c r="C42" s="28"/>
      <c r="D42" s="28"/>
      <c r="E42" s="28"/>
      <c r="F42" s="28"/>
      <c r="G42" s="28"/>
      <c r="H42" s="28"/>
    </row>
    <row r="43">
      <c r="A43" s="28"/>
      <c r="B43" s="28"/>
      <c r="C43" s="28"/>
    </row>
    <row r="44">
      <c r="A44" s="28"/>
      <c r="B44" s="28"/>
      <c r="C44" s="28"/>
    </row>
    <row r="45">
      <c r="A45" s="28"/>
      <c r="B45" s="28"/>
      <c r="C45" s="28"/>
    </row>
    <row r="46">
      <c r="A46" s="28"/>
      <c r="B46" s="28"/>
      <c r="C46" s="28"/>
    </row>
    <row r="47">
      <c r="A47" s="28"/>
      <c r="B47" s="28"/>
      <c r="C47" s="28"/>
    </row>
    <row r="48">
      <c r="A48" s="28"/>
      <c r="B48" s="28"/>
      <c r="C48" s="28"/>
    </row>
    <row r="49">
      <c r="A49" s="28"/>
      <c r="B49" s="28"/>
      <c r="C49" s="28"/>
    </row>
    <row r="50">
      <c r="A50" s="28"/>
      <c r="B50" s="28"/>
      <c r="C50" s="28"/>
    </row>
  </sheetData>
  <mergeCells count="6">
    <mergeCell ref="A1:D1"/>
    <mergeCell ref="F1:I1"/>
    <mergeCell ref="A2:D2"/>
    <mergeCell ref="F2:I2"/>
    <mergeCell ref="A12:D12"/>
    <mergeCell ref="F12:I1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46.14"/>
    <col customWidth="1" min="3" max="3" width="13.0"/>
    <col customWidth="1" min="4" max="4" width="11.57"/>
    <col customWidth="1" min="5" max="5" width="12.14"/>
    <col customWidth="1" min="6" max="6" width="28.71"/>
    <col customWidth="1" min="7" max="7" width="47.0"/>
    <col customWidth="1" min="8" max="8" width="12.86"/>
    <col customWidth="1" min="9" max="9" width="9.86"/>
    <col customWidth="1" min="10" max="10" width="24.57"/>
    <col customWidth="1" min="11" max="11" width="11.86"/>
    <col customWidth="1" min="12" max="12" width="38.71"/>
    <col customWidth="1" min="13" max="13" width="16.14"/>
  </cols>
  <sheetData>
    <row r="1">
      <c r="A1" s="1" t="s">
        <v>2</v>
      </c>
      <c r="B1" s="6" t="s">
        <v>4</v>
      </c>
      <c r="C1" s="8" t="s">
        <v>5</v>
      </c>
      <c r="D1" s="10" t="s">
        <v>6</v>
      </c>
      <c r="E1" s="13" t="s">
        <v>7</v>
      </c>
      <c r="F1" s="10" t="s">
        <v>8</v>
      </c>
      <c r="G1" s="15" t="s">
        <v>11</v>
      </c>
      <c r="H1" s="10" t="s">
        <v>13</v>
      </c>
      <c r="I1" s="13" t="s">
        <v>14</v>
      </c>
      <c r="J1" s="10" t="s">
        <v>16</v>
      </c>
      <c r="K1" s="10" t="s">
        <v>19</v>
      </c>
      <c r="L1" s="19" t="s">
        <v>20</v>
      </c>
      <c r="M1" s="13" t="s">
        <v>22</v>
      </c>
      <c r="N1" s="13" t="s">
        <v>23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4">
        <v>1.0</v>
      </c>
      <c r="B2" s="29" t="str">
        <f t="shared" ref="B2:B230" si="1">J2&amp;K2&amp;L2</f>
        <v>SC01-8x8</v>
      </c>
      <c r="C2" s="30"/>
      <c r="D2" s="36" t="s">
        <v>49</v>
      </c>
      <c r="E2" s="30">
        <v>65.0</v>
      </c>
      <c r="F2" s="37" t="s">
        <v>51</v>
      </c>
      <c r="G2" s="39" t="s">
        <v>56</v>
      </c>
      <c r="H2" s="41" t="s">
        <v>83</v>
      </c>
      <c r="I2" s="37" t="s">
        <v>86</v>
      </c>
      <c r="J2" s="42" t="s">
        <v>91</v>
      </c>
      <c r="K2" s="43" t="s">
        <v>95</v>
      </c>
      <c r="L2" s="44" t="s">
        <v>29</v>
      </c>
      <c r="M2" s="45" t="s">
        <v>10</v>
      </c>
      <c r="N2" s="45">
        <v>4.0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4">
        <v>2.0</v>
      </c>
      <c r="B3" s="29" t="str">
        <f t="shared" si="1"/>
        <v>SC03-8x8</v>
      </c>
      <c r="C3" s="30"/>
      <c r="D3" s="36" t="s">
        <v>49</v>
      </c>
      <c r="E3" s="30">
        <v>65.0</v>
      </c>
      <c r="F3" s="37" t="s">
        <v>51</v>
      </c>
      <c r="G3" s="39" t="s">
        <v>109</v>
      </c>
      <c r="H3" s="41" t="s">
        <v>83</v>
      </c>
      <c r="I3" s="37" t="s">
        <v>86</v>
      </c>
      <c r="J3" s="42" t="s">
        <v>120</v>
      </c>
      <c r="K3" s="43" t="s">
        <v>95</v>
      </c>
      <c r="L3" s="44" t="s">
        <v>29</v>
      </c>
      <c r="M3" s="45" t="s">
        <v>10</v>
      </c>
      <c r="N3" s="45">
        <v>4.0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4">
        <v>3.0</v>
      </c>
      <c r="B4" s="29" t="str">
        <f t="shared" si="1"/>
        <v>SC06-8x8</v>
      </c>
      <c r="C4" s="30"/>
      <c r="D4" s="36" t="s">
        <v>49</v>
      </c>
      <c r="E4" s="30">
        <v>65.0</v>
      </c>
      <c r="F4" s="37" t="s">
        <v>51</v>
      </c>
      <c r="G4" s="39" t="s">
        <v>121</v>
      </c>
      <c r="H4" s="41" t="s">
        <v>83</v>
      </c>
      <c r="I4" s="37" t="s">
        <v>86</v>
      </c>
      <c r="J4" s="42" t="s">
        <v>126</v>
      </c>
      <c r="K4" s="43" t="s">
        <v>95</v>
      </c>
      <c r="L4" s="44" t="s">
        <v>29</v>
      </c>
      <c r="M4" s="45" t="s">
        <v>10</v>
      </c>
      <c r="N4" s="45">
        <v>4.0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4">
        <v>4.0</v>
      </c>
      <c r="B5" s="29" t="str">
        <f t="shared" si="1"/>
        <v>SC08-8x8</v>
      </c>
      <c r="C5" s="30"/>
      <c r="D5" s="36" t="s">
        <v>49</v>
      </c>
      <c r="E5" s="30">
        <v>65.0</v>
      </c>
      <c r="F5" s="37" t="s">
        <v>51</v>
      </c>
      <c r="G5" s="39" t="s">
        <v>131</v>
      </c>
      <c r="H5" s="41" t="s">
        <v>83</v>
      </c>
      <c r="I5" s="37" t="s">
        <v>86</v>
      </c>
      <c r="J5" s="42" t="s">
        <v>135</v>
      </c>
      <c r="K5" s="43" t="s">
        <v>95</v>
      </c>
      <c r="L5" s="44" t="s">
        <v>29</v>
      </c>
      <c r="M5" s="45" t="s">
        <v>10</v>
      </c>
      <c r="N5" s="45">
        <v>4.0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4">
        <v>5.0</v>
      </c>
      <c r="B6" s="29" t="str">
        <f t="shared" si="1"/>
        <v>SC10-8x8</v>
      </c>
      <c r="C6" s="30"/>
      <c r="D6" s="36" t="s">
        <v>49</v>
      </c>
      <c r="E6" s="30">
        <v>65.0</v>
      </c>
      <c r="F6" s="37" t="s">
        <v>51</v>
      </c>
      <c r="G6" s="39" t="s">
        <v>138</v>
      </c>
      <c r="H6" s="41" t="s">
        <v>83</v>
      </c>
      <c r="I6" s="37" t="s">
        <v>86</v>
      </c>
      <c r="J6" s="42" t="s">
        <v>146</v>
      </c>
      <c r="K6" s="43" t="s">
        <v>95</v>
      </c>
      <c r="L6" s="44" t="s">
        <v>29</v>
      </c>
      <c r="M6" s="45" t="s">
        <v>10</v>
      </c>
      <c r="N6" s="45">
        <v>4.0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4">
        <v>6.0</v>
      </c>
      <c r="B7" s="29" t="str">
        <f t="shared" si="1"/>
        <v>SC11-8x8</v>
      </c>
      <c r="C7" s="30"/>
      <c r="D7" s="36" t="s">
        <v>49</v>
      </c>
      <c r="E7" s="30">
        <v>65.0</v>
      </c>
      <c r="F7" s="37" t="s">
        <v>51</v>
      </c>
      <c r="G7" s="39" t="s">
        <v>149</v>
      </c>
      <c r="H7" s="41" t="s">
        <v>83</v>
      </c>
      <c r="I7" s="37" t="s">
        <v>86</v>
      </c>
      <c r="J7" s="42" t="s">
        <v>157</v>
      </c>
      <c r="K7" s="43" t="s">
        <v>95</v>
      </c>
      <c r="L7" s="44" t="s">
        <v>29</v>
      </c>
      <c r="M7" s="45" t="s">
        <v>10</v>
      </c>
      <c r="N7" s="45">
        <v>4.0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4">
        <v>7.0</v>
      </c>
      <c r="B8" s="29" t="str">
        <f t="shared" si="1"/>
        <v>SC04-8x12</v>
      </c>
      <c r="C8" s="30"/>
      <c r="D8" s="36" t="s">
        <v>49</v>
      </c>
      <c r="E8" s="30">
        <v>95.0</v>
      </c>
      <c r="F8" s="37" t="s">
        <v>51</v>
      </c>
      <c r="G8" s="39" t="s">
        <v>161</v>
      </c>
      <c r="H8" s="41" t="s">
        <v>83</v>
      </c>
      <c r="I8" s="37" t="s">
        <v>168</v>
      </c>
      <c r="J8" s="42" t="s">
        <v>169</v>
      </c>
      <c r="K8" s="43" t="s">
        <v>95</v>
      </c>
      <c r="L8" s="44" t="s">
        <v>34</v>
      </c>
      <c r="M8" s="45" t="s">
        <v>10</v>
      </c>
      <c r="N8" s="45">
        <v>6.0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4">
        <v>8.0</v>
      </c>
      <c r="B9" s="29" t="str">
        <f t="shared" si="1"/>
        <v>SC05-8x12</v>
      </c>
      <c r="C9" s="30"/>
      <c r="D9" s="36" t="s">
        <v>49</v>
      </c>
      <c r="E9" s="30">
        <v>95.0</v>
      </c>
      <c r="F9" s="37" t="s">
        <v>51</v>
      </c>
      <c r="G9" s="39" t="s">
        <v>172</v>
      </c>
      <c r="H9" s="41" t="s">
        <v>83</v>
      </c>
      <c r="I9" s="37" t="s">
        <v>168</v>
      </c>
      <c r="J9" s="42" t="s">
        <v>180</v>
      </c>
      <c r="K9" s="43" t="s">
        <v>95</v>
      </c>
      <c r="L9" s="44" t="s">
        <v>34</v>
      </c>
      <c r="M9" s="45" t="s">
        <v>10</v>
      </c>
      <c r="N9" s="45">
        <v>6.0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4">
        <v>9.0</v>
      </c>
      <c r="B10" s="29" t="str">
        <f t="shared" si="1"/>
        <v>SC06-8x12</v>
      </c>
      <c r="C10" s="30"/>
      <c r="D10" s="36" t="s">
        <v>49</v>
      </c>
      <c r="E10" s="30">
        <v>95.0</v>
      </c>
      <c r="F10" s="37" t="s">
        <v>51</v>
      </c>
      <c r="G10" s="39" t="s">
        <v>184</v>
      </c>
      <c r="H10" s="41" t="s">
        <v>83</v>
      </c>
      <c r="I10" s="37" t="s">
        <v>168</v>
      </c>
      <c r="J10" s="42" t="s">
        <v>126</v>
      </c>
      <c r="K10" s="43" t="s">
        <v>95</v>
      </c>
      <c r="L10" s="44" t="s">
        <v>34</v>
      </c>
      <c r="M10" s="45" t="s">
        <v>10</v>
      </c>
      <c r="N10" s="45">
        <v>6.0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4">
        <v>10.0</v>
      </c>
      <c r="B11" s="29" t="str">
        <f t="shared" si="1"/>
        <v>SC08-8x12</v>
      </c>
      <c r="C11" s="30"/>
      <c r="D11" s="36" t="s">
        <v>49</v>
      </c>
      <c r="E11" s="30">
        <v>95.0</v>
      </c>
      <c r="F11" s="37" t="s">
        <v>51</v>
      </c>
      <c r="G11" s="39" t="s">
        <v>196</v>
      </c>
      <c r="H11" s="41" t="s">
        <v>83</v>
      </c>
      <c r="I11" s="37" t="s">
        <v>168</v>
      </c>
      <c r="J11" s="42" t="s">
        <v>135</v>
      </c>
      <c r="K11" s="43" t="s">
        <v>95</v>
      </c>
      <c r="L11" s="44" t="s">
        <v>34</v>
      </c>
      <c r="M11" s="45" t="s">
        <v>10</v>
      </c>
      <c r="N11" s="45">
        <v>6.0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4">
        <v>11.0</v>
      </c>
      <c r="B12" s="29" t="str">
        <f t="shared" si="1"/>
        <v>SC09-8x12</v>
      </c>
      <c r="C12" s="30"/>
      <c r="D12" s="36" t="s">
        <v>49</v>
      </c>
      <c r="E12" s="30">
        <v>95.0</v>
      </c>
      <c r="F12" s="37" t="s">
        <v>51</v>
      </c>
      <c r="G12" s="39" t="s">
        <v>206</v>
      </c>
      <c r="H12" s="41" t="s">
        <v>83</v>
      </c>
      <c r="I12" s="37" t="s">
        <v>168</v>
      </c>
      <c r="J12" s="42" t="s">
        <v>213</v>
      </c>
      <c r="K12" s="43" t="s">
        <v>95</v>
      </c>
      <c r="L12" s="44" t="s">
        <v>34</v>
      </c>
      <c r="M12" s="45" t="s">
        <v>10</v>
      </c>
      <c r="N12" s="45">
        <v>6.0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4">
        <v>12.0</v>
      </c>
      <c r="B13" s="29" t="str">
        <f t="shared" si="1"/>
        <v>SC12-8x12</v>
      </c>
      <c r="C13" s="30"/>
      <c r="D13" s="36" t="s">
        <v>49</v>
      </c>
      <c r="E13" s="30">
        <v>95.0</v>
      </c>
      <c r="F13" s="37" t="s">
        <v>51</v>
      </c>
      <c r="G13" s="39" t="s">
        <v>216</v>
      </c>
      <c r="H13" s="41" t="s">
        <v>83</v>
      </c>
      <c r="I13" s="37" t="s">
        <v>168</v>
      </c>
      <c r="J13" s="42" t="s">
        <v>223</v>
      </c>
      <c r="K13" s="43" t="s">
        <v>95</v>
      </c>
      <c r="L13" s="44" t="s">
        <v>34</v>
      </c>
      <c r="M13" s="45" t="s">
        <v>10</v>
      </c>
      <c r="N13" s="45">
        <v>6.0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4">
        <v>13.0</v>
      </c>
      <c r="B14" s="29" t="str">
        <f t="shared" si="1"/>
        <v>SC01-10x10</v>
      </c>
      <c r="C14" s="30"/>
      <c r="D14" s="36" t="s">
        <v>49</v>
      </c>
      <c r="E14" s="30">
        <v>95.0</v>
      </c>
      <c r="F14" s="37" t="s">
        <v>51</v>
      </c>
      <c r="G14" s="39" t="s">
        <v>226</v>
      </c>
      <c r="H14" s="41" t="s">
        <v>83</v>
      </c>
      <c r="I14" s="37" t="s">
        <v>229</v>
      </c>
      <c r="J14" s="42" t="s">
        <v>91</v>
      </c>
      <c r="K14" s="43" t="s">
        <v>95</v>
      </c>
      <c r="L14" s="44" t="s">
        <v>37</v>
      </c>
      <c r="M14" s="45" t="s">
        <v>10</v>
      </c>
      <c r="N14" s="45">
        <v>4.0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4">
        <v>14.0</v>
      </c>
      <c r="B15" s="29" t="str">
        <f t="shared" si="1"/>
        <v>SC04-10x10</v>
      </c>
      <c r="C15" s="30"/>
      <c r="D15" s="36" t="s">
        <v>49</v>
      </c>
      <c r="E15" s="30">
        <v>95.0</v>
      </c>
      <c r="F15" s="37" t="s">
        <v>51</v>
      </c>
      <c r="G15" s="39" t="s">
        <v>232</v>
      </c>
      <c r="H15" s="41" t="s">
        <v>83</v>
      </c>
      <c r="I15" s="37" t="s">
        <v>229</v>
      </c>
      <c r="J15" s="42" t="s">
        <v>169</v>
      </c>
      <c r="K15" s="43" t="s">
        <v>95</v>
      </c>
      <c r="L15" s="44" t="s">
        <v>37</v>
      </c>
      <c r="M15" s="45" t="s">
        <v>10</v>
      </c>
      <c r="N15" s="45">
        <v>4.0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4">
        <v>15.0</v>
      </c>
      <c r="B16" s="29" t="str">
        <f t="shared" si="1"/>
        <v>SC05-10x10</v>
      </c>
      <c r="C16" s="30"/>
      <c r="D16" s="36" t="s">
        <v>49</v>
      </c>
      <c r="E16" s="30">
        <v>95.0</v>
      </c>
      <c r="F16" s="37" t="s">
        <v>51</v>
      </c>
      <c r="G16" s="39" t="s">
        <v>241</v>
      </c>
      <c r="H16" s="41" t="s">
        <v>83</v>
      </c>
      <c r="I16" s="37" t="s">
        <v>229</v>
      </c>
      <c r="J16" s="42" t="s">
        <v>180</v>
      </c>
      <c r="K16" s="43" t="s">
        <v>95</v>
      </c>
      <c r="L16" s="44" t="s">
        <v>37</v>
      </c>
      <c r="M16" s="45" t="s">
        <v>10</v>
      </c>
      <c r="N16" s="45">
        <v>4.0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4">
        <v>16.0</v>
      </c>
      <c r="B17" s="29" t="str">
        <f t="shared" si="1"/>
        <v>SC06-10x10</v>
      </c>
      <c r="C17" s="30"/>
      <c r="D17" s="36" t="s">
        <v>49</v>
      </c>
      <c r="E17" s="30">
        <v>95.0</v>
      </c>
      <c r="F17" s="37" t="s">
        <v>51</v>
      </c>
      <c r="G17" s="39" t="s">
        <v>249</v>
      </c>
      <c r="H17" s="41" t="s">
        <v>83</v>
      </c>
      <c r="I17" s="37" t="s">
        <v>229</v>
      </c>
      <c r="J17" s="42" t="s">
        <v>126</v>
      </c>
      <c r="K17" s="43" t="s">
        <v>95</v>
      </c>
      <c r="L17" s="44" t="s">
        <v>37</v>
      </c>
      <c r="M17" s="45" t="s">
        <v>10</v>
      </c>
      <c r="N17" s="45">
        <v>4.0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4">
        <v>17.0</v>
      </c>
      <c r="B18" s="29" t="str">
        <f t="shared" si="1"/>
        <v>SC08-10x10</v>
      </c>
      <c r="C18" s="30"/>
      <c r="D18" s="36" t="s">
        <v>49</v>
      </c>
      <c r="E18" s="30">
        <v>95.0</v>
      </c>
      <c r="F18" s="37" t="s">
        <v>51</v>
      </c>
      <c r="G18" s="39" t="s">
        <v>251</v>
      </c>
      <c r="H18" s="41" t="s">
        <v>83</v>
      </c>
      <c r="I18" s="37" t="s">
        <v>229</v>
      </c>
      <c r="J18" s="42" t="s">
        <v>135</v>
      </c>
      <c r="K18" s="43" t="s">
        <v>95</v>
      </c>
      <c r="L18" s="44" t="s">
        <v>37</v>
      </c>
      <c r="M18" s="45" t="s">
        <v>10</v>
      </c>
      <c r="N18" s="45">
        <v>4.0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4">
        <v>18.0</v>
      </c>
      <c r="B19" s="29" t="str">
        <f t="shared" si="1"/>
        <v>SC09-10x10</v>
      </c>
      <c r="C19" s="30"/>
      <c r="D19" s="36" t="s">
        <v>49</v>
      </c>
      <c r="E19" s="30">
        <v>95.0</v>
      </c>
      <c r="F19" s="37" t="s">
        <v>51</v>
      </c>
      <c r="G19" s="39" t="s">
        <v>260</v>
      </c>
      <c r="H19" s="41" t="s">
        <v>83</v>
      </c>
      <c r="I19" s="37" t="s">
        <v>229</v>
      </c>
      <c r="J19" s="42" t="s">
        <v>213</v>
      </c>
      <c r="K19" s="43" t="s">
        <v>95</v>
      </c>
      <c r="L19" s="44" t="s">
        <v>37</v>
      </c>
      <c r="M19" s="45" t="s">
        <v>10</v>
      </c>
      <c r="N19" s="45">
        <v>4.0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4">
        <v>19.0</v>
      </c>
      <c r="B20" s="29" t="str">
        <f t="shared" si="1"/>
        <v>SC10-10x10</v>
      </c>
      <c r="C20" s="30"/>
      <c r="D20" s="36" t="s">
        <v>49</v>
      </c>
      <c r="E20" s="30">
        <v>95.0</v>
      </c>
      <c r="F20" s="37" t="s">
        <v>51</v>
      </c>
      <c r="G20" s="39" t="s">
        <v>271</v>
      </c>
      <c r="H20" s="41" t="s">
        <v>83</v>
      </c>
      <c r="I20" s="37" t="s">
        <v>229</v>
      </c>
      <c r="J20" s="42" t="s">
        <v>146</v>
      </c>
      <c r="K20" s="43" t="s">
        <v>95</v>
      </c>
      <c r="L20" s="44" t="s">
        <v>37</v>
      </c>
      <c r="M20" s="45" t="s">
        <v>10</v>
      </c>
      <c r="N20" s="45">
        <v>4.0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4">
        <v>20.0</v>
      </c>
      <c r="B21" s="29" t="str">
        <f t="shared" si="1"/>
        <v>SC11-10x10</v>
      </c>
      <c r="C21" s="30"/>
      <c r="D21" s="36" t="s">
        <v>49</v>
      </c>
      <c r="E21" s="30">
        <v>95.0</v>
      </c>
      <c r="F21" s="37" t="s">
        <v>51</v>
      </c>
      <c r="G21" s="39" t="s">
        <v>283</v>
      </c>
      <c r="H21" s="41" t="s">
        <v>83</v>
      </c>
      <c r="I21" s="37" t="s">
        <v>229</v>
      </c>
      <c r="J21" s="42" t="s">
        <v>157</v>
      </c>
      <c r="K21" s="43" t="s">
        <v>95</v>
      </c>
      <c r="L21" s="44" t="s">
        <v>37</v>
      </c>
      <c r="M21" s="45" t="s">
        <v>10</v>
      </c>
      <c r="N21" s="45">
        <v>4.0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4">
        <v>21.0</v>
      </c>
      <c r="B22" s="29" t="str">
        <f t="shared" si="1"/>
        <v>SC02-10x15</v>
      </c>
      <c r="C22" s="30"/>
      <c r="D22" s="36" t="s">
        <v>49</v>
      </c>
      <c r="E22" s="30">
        <v>140.0</v>
      </c>
      <c r="F22" s="37" t="s">
        <v>51</v>
      </c>
      <c r="G22" s="39" t="s">
        <v>284</v>
      </c>
      <c r="H22" s="41" t="s">
        <v>83</v>
      </c>
      <c r="I22" s="37" t="s">
        <v>285</v>
      </c>
      <c r="J22" s="42" t="s">
        <v>286</v>
      </c>
      <c r="K22" s="43" t="s">
        <v>95</v>
      </c>
      <c r="L22" s="44" t="s">
        <v>45</v>
      </c>
      <c r="M22" s="45" t="s">
        <v>10</v>
      </c>
      <c r="N22" s="45">
        <v>6.0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4">
        <v>22.0</v>
      </c>
      <c r="B23" s="29" t="str">
        <f t="shared" si="1"/>
        <v>SC04-10x15</v>
      </c>
      <c r="C23" s="30"/>
      <c r="D23" s="36" t="s">
        <v>49</v>
      </c>
      <c r="E23" s="30">
        <v>140.0</v>
      </c>
      <c r="F23" s="37" t="s">
        <v>51</v>
      </c>
      <c r="G23" s="39" t="s">
        <v>287</v>
      </c>
      <c r="H23" s="41" t="s">
        <v>83</v>
      </c>
      <c r="I23" s="37" t="s">
        <v>285</v>
      </c>
      <c r="J23" s="42" t="s">
        <v>169</v>
      </c>
      <c r="K23" s="43" t="s">
        <v>95</v>
      </c>
      <c r="L23" s="44" t="s">
        <v>45</v>
      </c>
      <c r="M23" s="45" t="s">
        <v>10</v>
      </c>
      <c r="N23" s="45">
        <v>6.0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4">
        <v>23.0</v>
      </c>
      <c r="B24" s="29" t="str">
        <f t="shared" si="1"/>
        <v>SC05-10x15</v>
      </c>
      <c r="C24" s="30"/>
      <c r="D24" s="36" t="s">
        <v>49</v>
      </c>
      <c r="E24" s="30">
        <v>140.0</v>
      </c>
      <c r="F24" s="37" t="s">
        <v>51</v>
      </c>
      <c r="G24" s="39" t="s">
        <v>288</v>
      </c>
      <c r="H24" s="41" t="s">
        <v>83</v>
      </c>
      <c r="I24" s="37" t="s">
        <v>285</v>
      </c>
      <c r="J24" s="42" t="s">
        <v>180</v>
      </c>
      <c r="K24" s="43" t="s">
        <v>95</v>
      </c>
      <c r="L24" s="44" t="s">
        <v>45</v>
      </c>
      <c r="M24" s="45" t="s">
        <v>10</v>
      </c>
      <c r="N24" s="45">
        <v>6.0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4">
        <v>24.0</v>
      </c>
      <c r="B25" s="29" t="str">
        <f t="shared" si="1"/>
        <v>SC06-10x15</v>
      </c>
      <c r="C25" s="30"/>
      <c r="D25" s="36" t="s">
        <v>49</v>
      </c>
      <c r="E25" s="30">
        <v>140.0</v>
      </c>
      <c r="F25" s="37" t="s">
        <v>51</v>
      </c>
      <c r="G25" s="39" t="s">
        <v>289</v>
      </c>
      <c r="H25" s="41" t="s">
        <v>83</v>
      </c>
      <c r="I25" s="37" t="s">
        <v>285</v>
      </c>
      <c r="J25" s="42" t="s">
        <v>126</v>
      </c>
      <c r="K25" s="43" t="s">
        <v>95</v>
      </c>
      <c r="L25" s="44" t="s">
        <v>45</v>
      </c>
      <c r="M25" s="45" t="s">
        <v>10</v>
      </c>
      <c r="N25" s="45">
        <v>6.0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4">
        <v>25.0</v>
      </c>
      <c r="B26" s="29" t="str">
        <f t="shared" si="1"/>
        <v>SC08-10x15</v>
      </c>
      <c r="C26" s="30"/>
      <c r="D26" s="36" t="s">
        <v>49</v>
      </c>
      <c r="E26" s="30">
        <v>140.0</v>
      </c>
      <c r="F26" s="37" t="s">
        <v>51</v>
      </c>
      <c r="G26" s="39" t="s">
        <v>290</v>
      </c>
      <c r="H26" s="41" t="s">
        <v>83</v>
      </c>
      <c r="I26" s="37" t="s">
        <v>285</v>
      </c>
      <c r="J26" s="42" t="s">
        <v>135</v>
      </c>
      <c r="K26" s="43" t="s">
        <v>95</v>
      </c>
      <c r="L26" s="44" t="s">
        <v>45</v>
      </c>
      <c r="M26" s="45" t="s">
        <v>10</v>
      </c>
      <c r="N26" s="45">
        <v>6.0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4">
        <v>26.0</v>
      </c>
      <c r="B27" s="29" t="str">
        <f t="shared" si="1"/>
        <v>SC09-10x15</v>
      </c>
      <c r="C27" s="30"/>
      <c r="D27" s="36" t="s">
        <v>49</v>
      </c>
      <c r="E27" s="30">
        <v>140.0</v>
      </c>
      <c r="F27" s="37" t="s">
        <v>51</v>
      </c>
      <c r="G27" s="39" t="s">
        <v>292</v>
      </c>
      <c r="H27" s="41" t="s">
        <v>83</v>
      </c>
      <c r="I27" s="37" t="s">
        <v>285</v>
      </c>
      <c r="J27" s="42" t="s">
        <v>213</v>
      </c>
      <c r="K27" s="43" t="s">
        <v>95</v>
      </c>
      <c r="L27" s="44" t="s">
        <v>45</v>
      </c>
      <c r="M27" s="45" t="s">
        <v>10</v>
      </c>
      <c r="N27" s="45">
        <v>6.0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4">
        <v>27.0</v>
      </c>
      <c r="B28" s="29" t="str">
        <f t="shared" si="1"/>
        <v>SC10-10x15</v>
      </c>
      <c r="C28" s="30"/>
      <c r="D28" s="36" t="s">
        <v>49</v>
      </c>
      <c r="E28" s="30">
        <v>140.0</v>
      </c>
      <c r="F28" s="37" t="s">
        <v>51</v>
      </c>
      <c r="G28" s="39" t="s">
        <v>293</v>
      </c>
      <c r="H28" s="41" t="s">
        <v>83</v>
      </c>
      <c r="I28" s="37" t="s">
        <v>285</v>
      </c>
      <c r="J28" s="42" t="s">
        <v>146</v>
      </c>
      <c r="K28" s="43" t="s">
        <v>95</v>
      </c>
      <c r="L28" s="44" t="s">
        <v>45</v>
      </c>
      <c r="M28" s="45" t="s">
        <v>10</v>
      </c>
      <c r="N28" s="45">
        <v>6.0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4">
        <v>28.0</v>
      </c>
      <c r="B29" s="29" t="str">
        <f t="shared" si="1"/>
        <v>SC11-10x15</v>
      </c>
      <c r="C29" s="30"/>
      <c r="D29" s="36" t="s">
        <v>49</v>
      </c>
      <c r="E29" s="30">
        <v>140.0</v>
      </c>
      <c r="F29" s="37" t="s">
        <v>51</v>
      </c>
      <c r="G29" s="39" t="s">
        <v>294</v>
      </c>
      <c r="H29" s="41" t="s">
        <v>83</v>
      </c>
      <c r="I29" s="37" t="s">
        <v>285</v>
      </c>
      <c r="J29" s="42" t="s">
        <v>157</v>
      </c>
      <c r="K29" s="43" t="s">
        <v>95</v>
      </c>
      <c r="L29" s="44" t="s">
        <v>45</v>
      </c>
      <c r="M29" s="45" t="s">
        <v>10</v>
      </c>
      <c r="N29" s="45">
        <v>6.0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4">
        <v>29.0</v>
      </c>
      <c r="B30" s="29" t="str">
        <f t="shared" si="1"/>
        <v>SC02-12x12</v>
      </c>
      <c r="C30" s="30"/>
      <c r="D30" s="36" t="s">
        <v>49</v>
      </c>
      <c r="E30" s="30">
        <v>170.0</v>
      </c>
      <c r="F30" s="37" t="s">
        <v>51</v>
      </c>
      <c r="G30" s="39" t="s">
        <v>297</v>
      </c>
      <c r="H30" s="41" t="s">
        <v>83</v>
      </c>
      <c r="I30" s="37" t="s">
        <v>299</v>
      </c>
      <c r="J30" s="42" t="s">
        <v>286</v>
      </c>
      <c r="K30" s="43" t="s">
        <v>95</v>
      </c>
      <c r="L30" s="44" t="s">
        <v>48</v>
      </c>
      <c r="M30" s="45" t="s">
        <v>10</v>
      </c>
      <c r="N30" s="45">
        <v>4.0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4">
        <v>30.0</v>
      </c>
      <c r="B31" s="29" t="str">
        <f t="shared" si="1"/>
        <v>SC04-12x12</v>
      </c>
      <c r="C31" s="30"/>
      <c r="D31" s="36" t="s">
        <v>49</v>
      </c>
      <c r="E31" s="30">
        <v>170.0</v>
      </c>
      <c r="F31" s="37" t="s">
        <v>51</v>
      </c>
      <c r="G31" s="39" t="s">
        <v>300</v>
      </c>
      <c r="H31" s="41" t="s">
        <v>83</v>
      </c>
      <c r="I31" s="37" t="s">
        <v>299</v>
      </c>
      <c r="J31" s="42" t="s">
        <v>169</v>
      </c>
      <c r="K31" s="43" t="s">
        <v>95</v>
      </c>
      <c r="L31" s="44" t="s">
        <v>48</v>
      </c>
      <c r="M31" s="45" t="s">
        <v>10</v>
      </c>
      <c r="N31" s="45">
        <v>4.0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4">
        <v>31.0</v>
      </c>
      <c r="B32" s="29" t="str">
        <f t="shared" si="1"/>
        <v>SC05-12x12</v>
      </c>
      <c r="C32" s="30"/>
      <c r="D32" s="36" t="s">
        <v>49</v>
      </c>
      <c r="E32" s="30">
        <v>170.0</v>
      </c>
      <c r="F32" s="37" t="s">
        <v>51</v>
      </c>
      <c r="G32" s="39" t="s">
        <v>302</v>
      </c>
      <c r="H32" s="41" t="s">
        <v>83</v>
      </c>
      <c r="I32" s="37" t="s">
        <v>299</v>
      </c>
      <c r="J32" s="42" t="s">
        <v>180</v>
      </c>
      <c r="K32" s="43" t="s">
        <v>95</v>
      </c>
      <c r="L32" s="44" t="s">
        <v>48</v>
      </c>
      <c r="M32" s="45" t="s">
        <v>10</v>
      </c>
      <c r="N32" s="45">
        <v>4.0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4">
        <v>32.0</v>
      </c>
      <c r="B33" s="29" t="str">
        <f t="shared" si="1"/>
        <v>SC06-12x12</v>
      </c>
      <c r="C33" s="30"/>
      <c r="D33" s="36" t="s">
        <v>49</v>
      </c>
      <c r="E33" s="30">
        <v>170.0</v>
      </c>
      <c r="F33" s="37" t="s">
        <v>51</v>
      </c>
      <c r="G33" s="39" t="s">
        <v>303</v>
      </c>
      <c r="H33" s="41" t="s">
        <v>83</v>
      </c>
      <c r="I33" s="37" t="s">
        <v>299</v>
      </c>
      <c r="J33" s="42" t="s">
        <v>126</v>
      </c>
      <c r="K33" s="43" t="s">
        <v>95</v>
      </c>
      <c r="L33" s="44" t="s">
        <v>48</v>
      </c>
      <c r="M33" s="45" t="s">
        <v>10</v>
      </c>
      <c r="N33" s="45">
        <v>4.0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4">
        <v>33.0</v>
      </c>
      <c r="B34" s="29" t="str">
        <f t="shared" si="1"/>
        <v>SC08-12x12</v>
      </c>
      <c r="C34" s="30"/>
      <c r="D34" s="36" t="s">
        <v>49</v>
      </c>
      <c r="E34" s="30">
        <v>170.0</v>
      </c>
      <c r="F34" s="37" t="s">
        <v>51</v>
      </c>
      <c r="G34" s="39" t="s">
        <v>305</v>
      </c>
      <c r="H34" s="41" t="s">
        <v>83</v>
      </c>
      <c r="I34" s="37" t="s">
        <v>299</v>
      </c>
      <c r="J34" s="42" t="s">
        <v>135</v>
      </c>
      <c r="K34" s="43" t="s">
        <v>95</v>
      </c>
      <c r="L34" s="44" t="s">
        <v>48</v>
      </c>
      <c r="M34" s="45" t="s">
        <v>10</v>
      </c>
      <c r="N34" s="45">
        <v>4.0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4">
        <v>34.0</v>
      </c>
      <c r="B35" s="29" t="str">
        <f t="shared" si="1"/>
        <v>SC09-12x12</v>
      </c>
      <c r="C35" s="30"/>
      <c r="D35" s="36" t="s">
        <v>49</v>
      </c>
      <c r="E35" s="30">
        <v>170.0</v>
      </c>
      <c r="F35" s="37" t="s">
        <v>51</v>
      </c>
      <c r="G35" s="39" t="s">
        <v>308</v>
      </c>
      <c r="H35" s="41" t="s">
        <v>83</v>
      </c>
      <c r="I35" s="37" t="s">
        <v>299</v>
      </c>
      <c r="J35" s="42" t="s">
        <v>213</v>
      </c>
      <c r="K35" s="43" t="s">
        <v>95</v>
      </c>
      <c r="L35" s="44" t="s">
        <v>48</v>
      </c>
      <c r="M35" s="45" t="s">
        <v>10</v>
      </c>
      <c r="N35" s="45">
        <v>4.0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4">
        <v>35.0</v>
      </c>
      <c r="B36" s="29" t="str">
        <f t="shared" si="1"/>
        <v>SC10-12x12</v>
      </c>
      <c r="C36" s="30"/>
      <c r="D36" s="36" t="s">
        <v>49</v>
      </c>
      <c r="E36" s="30">
        <v>170.0</v>
      </c>
      <c r="F36" s="37" t="s">
        <v>51</v>
      </c>
      <c r="G36" s="39" t="s">
        <v>309</v>
      </c>
      <c r="H36" s="41" t="s">
        <v>83</v>
      </c>
      <c r="I36" s="37" t="s">
        <v>299</v>
      </c>
      <c r="J36" s="42" t="s">
        <v>146</v>
      </c>
      <c r="K36" s="43" t="s">
        <v>95</v>
      </c>
      <c r="L36" s="44" t="s">
        <v>48</v>
      </c>
      <c r="M36" s="45" t="s">
        <v>10</v>
      </c>
      <c r="N36" s="45">
        <v>4.0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4">
        <v>36.0</v>
      </c>
      <c r="B37" s="29" t="str">
        <f t="shared" si="1"/>
        <v>SC02-12x18</v>
      </c>
      <c r="C37" s="30"/>
      <c r="D37" s="36" t="s">
        <v>49</v>
      </c>
      <c r="E37" s="30">
        <v>220.0</v>
      </c>
      <c r="F37" s="37" t="s">
        <v>51</v>
      </c>
      <c r="G37" s="39" t="s">
        <v>313</v>
      </c>
      <c r="H37" s="41" t="s">
        <v>83</v>
      </c>
      <c r="I37" s="37" t="s">
        <v>316</v>
      </c>
      <c r="J37" s="42" t="s">
        <v>286</v>
      </c>
      <c r="K37" s="43" t="s">
        <v>95</v>
      </c>
      <c r="L37" s="44" t="s">
        <v>53</v>
      </c>
      <c r="M37" s="45" t="s">
        <v>10</v>
      </c>
      <c r="N37" s="45">
        <v>6.0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4">
        <v>37.0</v>
      </c>
      <c r="B38" s="29" t="str">
        <f t="shared" si="1"/>
        <v>SC04-12x18</v>
      </c>
      <c r="C38" s="30"/>
      <c r="D38" s="36" t="s">
        <v>49</v>
      </c>
      <c r="E38" s="30">
        <v>220.0</v>
      </c>
      <c r="F38" s="37" t="s">
        <v>51</v>
      </c>
      <c r="G38" s="39" t="s">
        <v>317</v>
      </c>
      <c r="H38" s="41" t="s">
        <v>83</v>
      </c>
      <c r="I38" s="37" t="s">
        <v>316</v>
      </c>
      <c r="J38" s="42" t="s">
        <v>169</v>
      </c>
      <c r="K38" s="43" t="s">
        <v>95</v>
      </c>
      <c r="L38" s="44" t="s">
        <v>53</v>
      </c>
      <c r="M38" s="45" t="s">
        <v>10</v>
      </c>
      <c r="N38" s="45">
        <v>6.0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4">
        <v>38.0</v>
      </c>
      <c r="B39" s="29" t="str">
        <f t="shared" si="1"/>
        <v>SC05-12x18</v>
      </c>
      <c r="C39" s="30"/>
      <c r="D39" s="36" t="s">
        <v>49</v>
      </c>
      <c r="E39" s="30">
        <v>220.0</v>
      </c>
      <c r="F39" s="37" t="s">
        <v>51</v>
      </c>
      <c r="G39" s="39" t="s">
        <v>320</v>
      </c>
      <c r="H39" s="41" t="s">
        <v>83</v>
      </c>
      <c r="I39" s="37" t="s">
        <v>316</v>
      </c>
      <c r="J39" s="42" t="s">
        <v>180</v>
      </c>
      <c r="K39" s="43" t="s">
        <v>95</v>
      </c>
      <c r="L39" s="44" t="s">
        <v>53</v>
      </c>
      <c r="M39" s="45" t="s">
        <v>10</v>
      </c>
      <c r="N39" s="45">
        <v>6.0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4">
        <v>39.0</v>
      </c>
      <c r="B40" s="29" t="str">
        <f t="shared" si="1"/>
        <v>SC06-12x18</v>
      </c>
      <c r="C40" s="30"/>
      <c r="D40" s="36" t="s">
        <v>49</v>
      </c>
      <c r="E40" s="30">
        <v>220.0</v>
      </c>
      <c r="F40" s="37" t="s">
        <v>51</v>
      </c>
      <c r="G40" s="39" t="s">
        <v>323</v>
      </c>
      <c r="H40" s="41" t="s">
        <v>83</v>
      </c>
      <c r="I40" s="37" t="s">
        <v>316</v>
      </c>
      <c r="J40" s="42" t="s">
        <v>126</v>
      </c>
      <c r="K40" s="43" t="s">
        <v>95</v>
      </c>
      <c r="L40" s="44" t="s">
        <v>53</v>
      </c>
      <c r="M40" s="45" t="s">
        <v>10</v>
      </c>
      <c r="N40" s="45">
        <v>6.0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4">
        <v>40.0</v>
      </c>
      <c r="B41" s="29" t="str">
        <f t="shared" si="1"/>
        <v>SC08-12x18</v>
      </c>
      <c r="C41" s="30"/>
      <c r="D41" s="36" t="s">
        <v>49</v>
      </c>
      <c r="E41" s="30">
        <v>220.0</v>
      </c>
      <c r="F41" s="37" t="s">
        <v>51</v>
      </c>
      <c r="G41" s="39" t="s">
        <v>327</v>
      </c>
      <c r="H41" s="41" t="s">
        <v>83</v>
      </c>
      <c r="I41" s="37" t="s">
        <v>316</v>
      </c>
      <c r="J41" s="42" t="s">
        <v>135</v>
      </c>
      <c r="K41" s="43" t="s">
        <v>95</v>
      </c>
      <c r="L41" s="44" t="s">
        <v>53</v>
      </c>
      <c r="M41" s="45" t="s">
        <v>10</v>
      </c>
      <c r="N41" s="45">
        <v>6.0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4">
        <v>41.0</v>
      </c>
      <c r="B42" s="29" t="str">
        <f t="shared" si="1"/>
        <v>SC10-12x18</v>
      </c>
      <c r="C42" s="30"/>
      <c r="D42" s="36" t="s">
        <v>49</v>
      </c>
      <c r="E42" s="30">
        <v>220.0</v>
      </c>
      <c r="F42" s="37" t="s">
        <v>51</v>
      </c>
      <c r="G42" s="39" t="s">
        <v>330</v>
      </c>
      <c r="H42" s="41" t="s">
        <v>83</v>
      </c>
      <c r="I42" s="37" t="s">
        <v>316</v>
      </c>
      <c r="J42" s="42" t="s">
        <v>146</v>
      </c>
      <c r="K42" s="43" t="s">
        <v>95</v>
      </c>
      <c r="L42" s="44" t="s">
        <v>53</v>
      </c>
      <c r="M42" s="45" t="s">
        <v>10</v>
      </c>
      <c r="N42" s="45">
        <v>6.0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4">
        <v>42.0</v>
      </c>
      <c r="B43" s="29" t="str">
        <f t="shared" si="1"/>
        <v>S01-2x1</v>
      </c>
      <c r="C43" s="30">
        <v>70.0</v>
      </c>
      <c r="D43" s="36" t="s">
        <v>49</v>
      </c>
      <c r="E43" s="30">
        <v>235.0</v>
      </c>
      <c r="F43" s="37" t="s">
        <v>295</v>
      </c>
      <c r="G43" s="39" t="s">
        <v>137</v>
      </c>
      <c r="H43" s="41" t="s">
        <v>83</v>
      </c>
      <c r="I43" s="37" t="s">
        <v>229</v>
      </c>
      <c r="J43" s="42" t="s">
        <v>336</v>
      </c>
      <c r="K43" s="43" t="s">
        <v>95</v>
      </c>
      <c r="L43" s="44" t="s">
        <v>3</v>
      </c>
      <c r="M43" s="45" t="s">
        <v>10</v>
      </c>
      <c r="N43" s="45">
        <v>2.0</v>
      </c>
      <c r="O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4">
        <v>43.0</v>
      </c>
      <c r="B44" s="29" t="str">
        <f t="shared" si="1"/>
        <v>S02-2x1</v>
      </c>
      <c r="C44" s="30">
        <v>50.0</v>
      </c>
      <c r="D44" s="36" t="s">
        <v>49</v>
      </c>
      <c r="E44" s="30">
        <v>235.0</v>
      </c>
      <c r="F44" s="37" t="s">
        <v>295</v>
      </c>
      <c r="G44" s="39" t="s">
        <v>139</v>
      </c>
      <c r="H44" s="41" t="s">
        <v>83</v>
      </c>
      <c r="I44" s="37" t="s">
        <v>229</v>
      </c>
      <c r="J44" s="42" t="s">
        <v>340</v>
      </c>
      <c r="K44" s="43" t="s">
        <v>95</v>
      </c>
      <c r="L44" s="44" t="s">
        <v>3</v>
      </c>
      <c r="M44" s="45" t="s">
        <v>10</v>
      </c>
      <c r="N44" s="45">
        <v>2.0</v>
      </c>
      <c r="O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4">
        <v>44.0</v>
      </c>
      <c r="B45" s="29" t="str">
        <f t="shared" si="1"/>
        <v>S03-2x1</v>
      </c>
      <c r="C45" s="30">
        <v>80.0</v>
      </c>
      <c r="D45" s="36" t="s">
        <v>49</v>
      </c>
      <c r="E45" s="30">
        <v>235.0</v>
      </c>
      <c r="F45" s="37" t="s">
        <v>295</v>
      </c>
      <c r="G45" s="39" t="s">
        <v>141</v>
      </c>
      <c r="H45" s="41" t="s">
        <v>83</v>
      </c>
      <c r="I45" s="37" t="s">
        <v>229</v>
      </c>
      <c r="J45" s="42" t="s">
        <v>344</v>
      </c>
      <c r="K45" s="43" t="s">
        <v>95</v>
      </c>
      <c r="L45" s="44" t="s">
        <v>3</v>
      </c>
      <c r="M45" s="45" t="s">
        <v>10</v>
      </c>
      <c r="N45" s="45">
        <v>2.0</v>
      </c>
      <c r="O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4">
        <v>45.0</v>
      </c>
      <c r="B46" s="29" t="str">
        <f t="shared" si="1"/>
        <v>S04-2x1</v>
      </c>
      <c r="C46" s="30">
        <v>50.0</v>
      </c>
      <c r="D46" s="36" t="s">
        <v>49</v>
      </c>
      <c r="E46" s="30">
        <v>235.0</v>
      </c>
      <c r="F46" s="37" t="s">
        <v>295</v>
      </c>
      <c r="G46" s="39" t="s">
        <v>142</v>
      </c>
      <c r="H46" s="41" t="s">
        <v>83</v>
      </c>
      <c r="I46" s="37" t="s">
        <v>229</v>
      </c>
      <c r="J46" s="42" t="s">
        <v>347</v>
      </c>
      <c r="K46" s="43" t="s">
        <v>95</v>
      </c>
      <c r="L46" s="44" t="s">
        <v>3</v>
      </c>
      <c r="M46" s="45" t="s">
        <v>10</v>
      </c>
      <c r="N46" s="45">
        <v>2.0</v>
      </c>
      <c r="O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4">
        <v>46.0</v>
      </c>
      <c r="B47" s="29" t="str">
        <f t="shared" si="1"/>
        <v>S05-2x1</v>
      </c>
      <c r="C47" s="30">
        <v>50.0</v>
      </c>
      <c r="D47" s="36" t="s">
        <v>49</v>
      </c>
      <c r="E47" s="30">
        <v>235.0</v>
      </c>
      <c r="F47" s="37" t="s">
        <v>295</v>
      </c>
      <c r="G47" s="39" t="s">
        <v>143</v>
      </c>
      <c r="H47" s="41" t="s">
        <v>83</v>
      </c>
      <c r="I47" s="37" t="s">
        <v>229</v>
      </c>
      <c r="J47" s="42" t="s">
        <v>350</v>
      </c>
      <c r="K47" s="43" t="s">
        <v>95</v>
      </c>
      <c r="L47" s="44" t="s">
        <v>3</v>
      </c>
      <c r="M47" s="45" t="s">
        <v>10</v>
      </c>
      <c r="N47" s="45">
        <v>2.0</v>
      </c>
      <c r="O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4">
        <v>47.0</v>
      </c>
      <c r="B48" s="29" t="str">
        <f t="shared" si="1"/>
        <v>S07-3x1</v>
      </c>
      <c r="C48" s="30">
        <v>100.0</v>
      </c>
      <c r="D48" s="36" t="s">
        <v>49</v>
      </c>
      <c r="E48" s="30">
        <v>285.0</v>
      </c>
      <c r="F48" s="37" t="s">
        <v>295</v>
      </c>
      <c r="G48" s="39" t="s">
        <v>145</v>
      </c>
      <c r="H48" s="41" t="s">
        <v>83</v>
      </c>
      <c r="I48" s="37" t="s">
        <v>285</v>
      </c>
      <c r="J48" s="42" t="s">
        <v>355</v>
      </c>
      <c r="K48" s="43" t="s">
        <v>95</v>
      </c>
      <c r="L48" s="44" t="s">
        <v>81</v>
      </c>
      <c r="M48" s="45" t="s">
        <v>10</v>
      </c>
      <c r="N48" s="45">
        <v>3.0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4">
        <v>48.0</v>
      </c>
      <c r="B49" s="29" t="str">
        <f t="shared" si="1"/>
        <v>S08-3x1</v>
      </c>
      <c r="C49" s="30">
        <v>100.0</v>
      </c>
      <c r="D49" s="36" t="s">
        <v>49</v>
      </c>
      <c r="E49" s="30">
        <v>285.0</v>
      </c>
      <c r="F49" s="37" t="s">
        <v>295</v>
      </c>
      <c r="G49" s="39" t="s">
        <v>147</v>
      </c>
      <c r="H49" s="41" t="s">
        <v>83</v>
      </c>
      <c r="I49" s="37" t="s">
        <v>285</v>
      </c>
      <c r="J49" s="42" t="s">
        <v>358</v>
      </c>
      <c r="K49" s="43" t="s">
        <v>95</v>
      </c>
      <c r="L49" s="44" t="s">
        <v>81</v>
      </c>
      <c r="M49" s="45" t="s">
        <v>10</v>
      </c>
      <c r="N49" s="45">
        <v>3.0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4">
        <v>49.0</v>
      </c>
      <c r="B50" s="29" t="str">
        <f t="shared" si="1"/>
        <v>S09-3x1</v>
      </c>
      <c r="C50" s="30">
        <v>40.0</v>
      </c>
      <c r="D50" s="36" t="s">
        <v>49</v>
      </c>
      <c r="E50" s="30">
        <v>285.0</v>
      </c>
      <c r="F50" s="37" t="s">
        <v>295</v>
      </c>
      <c r="G50" s="39" t="s">
        <v>148</v>
      </c>
      <c r="H50" s="41" t="s">
        <v>83</v>
      </c>
      <c r="I50" s="37" t="s">
        <v>285</v>
      </c>
      <c r="J50" s="42" t="s">
        <v>363</v>
      </c>
      <c r="K50" s="43" t="s">
        <v>95</v>
      </c>
      <c r="L50" s="44" t="s">
        <v>81</v>
      </c>
      <c r="M50" s="45" t="s">
        <v>10</v>
      </c>
      <c r="N50" s="45">
        <v>3.0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4">
        <v>50.0</v>
      </c>
      <c r="B51" s="29" t="str">
        <f t="shared" si="1"/>
        <v>S10-3x1</v>
      </c>
      <c r="C51" s="30">
        <v>120.0</v>
      </c>
      <c r="D51" s="36" t="s">
        <v>49</v>
      </c>
      <c r="E51" s="30">
        <v>285.0</v>
      </c>
      <c r="F51" s="37" t="s">
        <v>295</v>
      </c>
      <c r="G51" s="39" t="s">
        <v>150</v>
      </c>
      <c r="H51" s="41" t="s">
        <v>83</v>
      </c>
      <c r="I51" s="37" t="s">
        <v>285</v>
      </c>
      <c r="J51" s="42" t="s">
        <v>366</v>
      </c>
      <c r="K51" s="43" t="s">
        <v>95</v>
      </c>
      <c r="L51" s="44" t="s">
        <v>81</v>
      </c>
      <c r="M51" s="45" t="s">
        <v>10</v>
      </c>
      <c r="N51" s="45">
        <v>3.0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4">
        <v>51.0</v>
      </c>
      <c r="B52" s="29" t="str">
        <f t="shared" si="1"/>
        <v>S11-3x1</v>
      </c>
      <c r="C52" s="30">
        <v>40.0</v>
      </c>
      <c r="D52" s="36" t="s">
        <v>49</v>
      </c>
      <c r="E52" s="30">
        <v>285.0</v>
      </c>
      <c r="F52" s="37" t="s">
        <v>295</v>
      </c>
      <c r="G52" s="39" t="s">
        <v>152</v>
      </c>
      <c r="H52" s="41" t="s">
        <v>83</v>
      </c>
      <c r="I52" s="37" t="s">
        <v>285</v>
      </c>
      <c r="J52" s="42" t="s">
        <v>371</v>
      </c>
      <c r="K52" s="43" t="s">
        <v>95</v>
      </c>
      <c r="L52" s="44" t="s">
        <v>81</v>
      </c>
      <c r="M52" s="45" t="s">
        <v>10</v>
      </c>
      <c r="N52" s="45">
        <v>3.0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4">
        <v>52.0</v>
      </c>
      <c r="B53" s="29" t="str">
        <f t="shared" si="1"/>
        <v>S12-4x1</v>
      </c>
      <c r="C53" s="30">
        <v>50.0</v>
      </c>
      <c r="D53" s="36" t="s">
        <v>49</v>
      </c>
      <c r="E53" s="30">
        <v>390.0</v>
      </c>
      <c r="F53" s="37" t="s">
        <v>295</v>
      </c>
      <c r="G53" s="39" t="s">
        <v>153</v>
      </c>
      <c r="H53" s="41" t="s">
        <v>83</v>
      </c>
      <c r="I53" s="37" t="s">
        <v>299</v>
      </c>
      <c r="J53" s="42" t="s">
        <v>375</v>
      </c>
      <c r="K53" s="43" t="s">
        <v>95</v>
      </c>
      <c r="L53" s="44" t="s">
        <v>93</v>
      </c>
      <c r="M53" s="45" t="s">
        <v>10</v>
      </c>
      <c r="N53" s="45">
        <v>4.0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4">
        <v>53.0</v>
      </c>
      <c r="B54" s="29" t="str">
        <f t="shared" si="1"/>
        <v>S13-4x1</v>
      </c>
      <c r="C54" s="30">
        <v>100.0</v>
      </c>
      <c r="D54" s="36" t="s">
        <v>49</v>
      </c>
      <c r="E54" s="30">
        <v>390.0</v>
      </c>
      <c r="F54" s="37" t="s">
        <v>295</v>
      </c>
      <c r="G54" s="39" t="s">
        <v>154</v>
      </c>
      <c r="H54" s="41" t="s">
        <v>83</v>
      </c>
      <c r="I54" s="37" t="s">
        <v>299</v>
      </c>
      <c r="J54" s="42" t="s">
        <v>379</v>
      </c>
      <c r="K54" s="43" t="s">
        <v>95</v>
      </c>
      <c r="L54" s="44" t="s">
        <v>93</v>
      </c>
      <c r="M54" s="45" t="s">
        <v>10</v>
      </c>
      <c r="N54" s="45">
        <v>4.0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4">
        <v>54.0</v>
      </c>
      <c r="B55" s="29" t="str">
        <f t="shared" si="1"/>
        <v>S14-4x1</v>
      </c>
      <c r="C55" s="30">
        <v>100.0</v>
      </c>
      <c r="D55" s="36" t="s">
        <v>49</v>
      </c>
      <c r="E55" s="30">
        <v>390.0</v>
      </c>
      <c r="F55" s="37" t="s">
        <v>295</v>
      </c>
      <c r="G55" s="39" t="s">
        <v>155</v>
      </c>
      <c r="H55" s="41" t="s">
        <v>83</v>
      </c>
      <c r="I55" s="37" t="s">
        <v>299</v>
      </c>
      <c r="J55" s="42" t="s">
        <v>383</v>
      </c>
      <c r="K55" s="43" t="s">
        <v>95</v>
      </c>
      <c r="L55" s="44" t="s">
        <v>93</v>
      </c>
      <c r="M55" s="45" t="s">
        <v>10</v>
      </c>
      <c r="N55" s="45">
        <v>4.0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4">
        <v>55.0</v>
      </c>
      <c r="B56" s="29" t="str">
        <f t="shared" si="1"/>
        <v>S06-4x1</v>
      </c>
      <c r="C56" s="30">
        <v>10.0</v>
      </c>
      <c r="D56" s="36" t="s">
        <v>49</v>
      </c>
      <c r="E56" s="30">
        <v>390.0</v>
      </c>
      <c r="F56" s="37" t="s">
        <v>295</v>
      </c>
      <c r="G56" s="39" t="s">
        <v>384</v>
      </c>
      <c r="H56" s="41" t="s">
        <v>83</v>
      </c>
      <c r="I56" s="37" t="s">
        <v>299</v>
      </c>
      <c r="J56" s="42" t="s">
        <v>389</v>
      </c>
      <c r="K56" s="43" t="s">
        <v>95</v>
      </c>
      <c r="L56" s="44" t="s">
        <v>93</v>
      </c>
      <c r="M56" s="45" t="s">
        <v>10</v>
      </c>
      <c r="N56" s="45">
        <v>4.0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4">
        <v>56.0</v>
      </c>
      <c r="B57" s="29" t="str">
        <f t="shared" si="1"/>
        <v>S15-4x1</v>
      </c>
      <c r="C57" s="30">
        <v>40.0</v>
      </c>
      <c r="D57" s="36" t="s">
        <v>49</v>
      </c>
      <c r="E57" s="30">
        <v>390.0</v>
      </c>
      <c r="F57" s="37" t="s">
        <v>295</v>
      </c>
      <c r="G57" s="39" t="s">
        <v>158</v>
      </c>
      <c r="H57" s="41" t="s">
        <v>83</v>
      </c>
      <c r="I57" s="37" t="s">
        <v>299</v>
      </c>
      <c r="J57" s="42" t="s">
        <v>392</v>
      </c>
      <c r="K57" s="43" t="s">
        <v>95</v>
      </c>
      <c r="L57" s="44" t="s">
        <v>93</v>
      </c>
      <c r="M57" s="45" t="s">
        <v>10</v>
      </c>
      <c r="N57" s="45">
        <v>4.0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4">
        <v>57.0</v>
      </c>
      <c r="B58" s="29" t="str">
        <f t="shared" si="1"/>
        <v>S16-6x1</v>
      </c>
      <c r="C58" s="30">
        <v>132.0</v>
      </c>
      <c r="D58" s="36" t="s">
        <v>49</v>
      </c>
      <c r="E58" s="30">
        <v>515.0</v>
      </c>
      <c r="F58" s="37" t="s">
        <v>295</v>
      </c>
      <c r="G58" s="39" t="s">
        <v>159</v>
      </c>
      <c r="H58" s="41" t="s">
        <v>83</v>
      </c>
      <c r="I58" s="37" t="s">
        <v>396</v>
      </c>
      <c r="J58" s="42" t="s">
        <v>397</v>
      </c>
      <c r="K58" s="43" t="s">
        <v>95</v>
      </c>
      <c r="L58" s="44" t="s">
        <v>100</v>
      </c>
      <c r="M58" s="45" t="s">
        <v>10</v>
      </c>
      <c r="N58" s="45">
        <v>6.0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4">
        <v>58.0</v>
      </c>
      <c r="B59" s="29" t="str">
        <f t="shared" si="1"/>
        <v>S17-6x1</v>
      </c>
      <c r="C59" s="30">
        <v>128.0</v>
      </c>
      <c r="D59" s="36" t="s">
        <v>49</v>
      </c>
      <c r="E59" s="30">
        <v>515.0</v>
      </c>
      <c r="F59" s="37" t="s">
        <v>295</v>
      </c>
      <c r="G59" s="39" t="s">
        <v>160</v>
      </c>
      <c r="H59" s="41" t="s">
        <v>83</v>
      </c>
      <c r="I59" s="37" t="s">
        <v>396</v>
      </c>
      <c r="J59" s="42" t="s">
        <v>401</v>
      </c>
      <c r="K59" s="43" t="s">
        <v>95</v>
      </c>
      <c r="L59" s="44" t="s">
        <v>100</v>
      </c>
      <c r="M59" s="45" t="s">
        <v>10</v>
      </c>
      <c r="N59" s="45">
        <v>6.0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4">
        <v>59.0</v>
      </c>
      <c r="B60" s="29" t="str">
        <f t="shared" si="1"/>
        <v>S18-6x1</v>
      </c>
      <c r="C60" s="30">
        <v>138.0</v>
      </c>
      <c r="D60" s="36" t="s">
        <v>49</v>
      </c>
      <c r="E60" s="30">
        <v>515.0</v>
      </c>
      <c r="F60" s="37" t="s">
        <v>295</v>
      </c>
      <c r="G60" s="39" t="s">
        <v>162</v>
      </c>
      <c r="H60" s="41" t="s">
        <v>83</v>
      </c>
      <c r="I60" s="37" t="s">
        <v>396</v>
      </c>
      <c r="J60" s="42" t="s">
        <v>404</v>
      </c>
      <c r="K60" s="43" t="s">
        <v>95</v>
      </c>
      <c r="L60" s="44" t="s">
        <v>100</v>
      </c>
      <c r="M60" s="45" t="s">
        <v>10</v>
      </c>
      <c r="N60" s="45">
        <v>6.0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4">
        <v>60.0</v>
      </c>
      <c r="B61" s="29" t="str">
        <f t="shared" si="1"/>
        <v>214A-3x1</v>
      </c>
      <c r="C61" s="30">
        <v>6.0</v>
      </c>
      <c r="D61" s="36" t="s">
        <v>49</v>
      </c>
      <c r="E61" s="30">
        <v>415.0</v>
      </c>
      <c r="F61" s="37" t="s">
        <v>295</v>
      </c>
      <c r="G61" s="67" t="s">
        <v>312</v>
      </c>
      <c r="H61" s="41" t="s">
        <v>83</v>
      </c>
      <c r="I61" s="36" t="s">
        <v>315</v>
      </c>
      <c r="J61" s="42" t="s">
        <v>409</v>
      </c>
      <c r="K61" s="43" t="s">
        <v>95</v>
      </c>
      <c r="L61" s="44" t="s">
        <v>81</v>
      </c>
      <c r="M61" s="45" t="s">
        <v>0</v>
      </c>
      <c r="N61" s="45">
        <v>3.0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4">
        <v>61.0</v>
      </c>
      <c r="B62" s="29" t="str">
        <f t="shared" si="1"/>
        <v>224A-3x1</v>
      </c>
      <c r="C62" s="30">
        <v>14.0</v>
      </c>
      <c r="D62" s="36" t="s">
        <v>49</v>
      </c>
      <c r="E62" s="30">
        <v>415.0</v>
      </c>
      <c r="F62" s="37" t="s">
        <v>295</v>
      </c>
      <c r="G62" s="67" t="s">
        <v>318</v>
      </c>
      <c r="H62" s="41" t="s">
        <v>83</v>
      </c>
      <c r="I62" s="36" t="s">
        <v>315</v>
      </c>
      <c r="J62" s="37" t="s">
        <v>414</v>
      </c>
      <c r="K62" s="43" t="s">
        <v>95</v>
      </c>
      <c r="L62" s="44" t="s">
        <v>81</v>
      </c>
      <c r="M62" s="45" t="s">
        <v>0</v>
      </c>
      <c r="N62" s="45">
        <v>3.0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4">
        <v>62.0</v>
      </c>
      <c r="B63" s="29" t="str">
        <f t="shared" si="1"/>
        <v>224B-3x1</v>
      </c>
      <c r="C63" s="30">
        <v>42.0</v>
      </c>
      <c r="D63" s="36" t="s">
        <v>49</v>
      </c>
      <c r="E63" s="30">
        <v>415.0</v>
      </c>
      <c r="F63" s="37" t="s">
        <v>295</v>
      </c>
      <c r="G63" s="69" t="s">
        <v>321</v>
      </c>
      <c r="H63" s="41" t="s">
        <v>83</v>
      </c>
      <c r="I63" s="36" t="s">
        <v>315</v>
      </c>
      <c r="J63" s="37" t="s">
        <v>420</v>
      </c>
      <c r="K63" s="43" t="s">
        <v>95</v>
      </c>
      <c r="L63" s="44" t="s">
        <v>81</v>
      </c>
      <c r="M63" s="45" t="s">
        <v>0</v>
      </c>
      <c r="N63" s="45">
        <v>3.0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4">
        <v>63.0</v>
      </c>
      <c r="B64" s="29" t="str">
        <f t="shared" si="1"/>
        <v>264A-3x1</v>
      </c>
      <c r="C64" s="30">
        <v>24.0</v>
      </c>
      <c r="D64" s="36" t="s">
        <v>49</v>
      </c>
      <c r="E64" s="30">
        <v>415.0</v>
      </c>
      <c r="F64" s="37" t="s">
        <v>295</v>
      </c>
      <c r="G64" s="67" t="s">
        <v>324</v>
      </c>
      <c r="H64" s="41" t="s">
        <v>83</v>
      </c>
      <c r="I64" s="36" t="s">
        <v>326</v>
      </c>
      <c r="J64" s="37" t="s">
        <v>423</v>
      </c>
      <c r="K64" s="43" t="s">
        <v>95</v>
      </c>
      <c r="L64" s="44" t="s">
        <v>81</v>
      </c>
      <c r="M64" s="45" t="s">
        <v>0</v>
      </c>
      <c r="N64" s="45">
        <v>3.0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4">
        <v>64.0</v>
      </c>
      <c r="B65" s="29" t="str">
        <f t="shared" si="1"/>
        <v>2005-3x1</v>
      </c>
      <c r="C65" s="30">
        <v>12.0</v>
      </c>
      <c r="D65" s="36" t="s">
        <v>49</v>
      </c>
      <c r="E65" s="30">
        <v>415.0</v>
      </c>
      <c r="F65" s="37" t="s">
        <v>295</v>
      </c>
      <c r="G65" s="39"/>
      <c r="H65" s="43"/>
      <c r="I65" s="37" t="s">
        <v>168</v>
      </c>
      <c r="J65" s="42" t="s">
        <v>296</v>
      </c>
      <c r="K65" s="43" t="s">
        <v>95</v>
      </c>
      <c r="L65" s="44" t="s">
        <v>81</v>
      </c>
      <c r="M65" s="45" t="s">
        <v>0</v>
      </c>
      <c r="N65" s="45">
        <v>3.0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4">
        <v>65.0</v>
      </c>
      <c r="B66" s="29" t="str">
        <f t="shared" si="1"/>
        <v>225A-3x1</v>
      </c>
      <c r="C66" s="30">
        <v>12.0</v>
      </c>
      <c r="D66" s="36" t="s">
        <v>49</v>
      </c>
      <c r="E66" s="30">
        <v>555.0</v>
      </c>
      <c r="F66" s="37" t="s">
        <v>295</v>
      </c>
      <c r="G66" s="39"/>
      <c r="H66" s="43"/>
      <c r="I66" s="37" t="s">
        <v>168</v>
      </c>
      <c r="J66" s="42" t="s">
        <v>298</v>
      </c>
      <c r="K66" s="43" t="s">
        <v>95</v>
      </c>
      <c r="L66" s="44" t="s">
        <v>81</v>
      </c>
      <c r="M66" s="45" t="s">
        <v>0</v>
      </c>
      <c r="N66" s="45">
        <v>3.0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4">
        <v>66.0</v>
      </c>
      <c r="B67" s="29" t="str">
        <f t="shared" si="1"/>
        <v>275B-3x1</v>
      </c>
      <c r="C67" s="30">
        <v>30.0</v>
      </c>
      <c r="D67" s="36" t="s">
        <v>49</v>
      </c>
      <c r="E67" s="30">
        <v>555.0</v>
      </c>
      <c r="F67" s="37" t="s">
        <v>295</v>
      </c>
      <c r="G67" s="39"/>
      <c r="H67" s="43"/>
      <c r="I67" s="37" t="s">
        <v>285</v>
      </c>
      <c r="J67" s="42" t="s">
        <v>301</v>
      </c>
      <c r="K67" s="43" t="s">
        <v>95</v>
      </c>
      <c r="L67" s="44" t="s">
        <v>81</v>
      </c>
      <c r="M67" s="45" t="s">
        <v>0</v>
      </c>
      <c r="N67" s="45">
        <v>3.0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4">
        <v>67.0</v>
      </c>
      <c r="B68" s="29" t="str">
        <f t="shared" si="1"/>
        <v>215B-3x1</v>
      </c>
      <c r="C68" s="30">
        <v>23.0</v>
      </c>
      <c r="D68" s="36" t="s">
        <v>49</v>
      </c>
      <c r="E68" s="30">
        <v>555.0</v>
      </c>
      <c r="F68" s="37" t="s">
        <v>295</v>
      </c>
      <c r="G68" s="39"/>
      <c r="H68" s="43"/>
      <c r="I68" s="37" t="s">
        <v>168</v>
      </c>
      <c r="J68" s="42" t="s">
        <v>304</v>
      </c>
      <c r="K68" s="43" t="s">
        <v>95</v>
      </c>
      <c r="L68" s="44" t="s">
        <v>81</v>
      </c>
      <c r="M68" s="45" t="s">
        <v>0</v>
      </c>
      <c r="N68" s="45">
        <v>3.0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4">
        <v>68.0</v>
      </c>
      <c r="B69" s="29" t="str">
        <f t="shared" si="1"/>
        <v>325-3x1</v>
      </c>
      <c r="C69" s="30">
        <v>24.0</v>
      </c>
      <c r="D69" s="36" t="s">
        <v>49</v>
      </c>
      <c r="E69" s="30">
        <v>595.0</v>
      </c>
      <c r="F69" s="37" t="s">
        <v>295</v>
      </c>
      <c r="G69" s="39"/>
      <c r="H69" s="43"/>
      <c r="I69" s="37" t="s">
        <v>306</v>
      </c>
      <c r="J69" s="42" t="s">
        <v>307</v>
      </c>
      <c r="K69" s="43" t="s">
        <v>95</v>
      </c>
      <c r="L69" s="44" t="s">
        <v>81</v>
      </c>
      <c r="M69" s="45" t="s">
        <v>0</v>
      </c>
      <c r="N69" s="45">
        <v>3.0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4">
        <v>69.0</v>
      </c>
      <c r="B70" s="29" t="str">
        <f t="shared" si="1"/>
        <v>335-3x1</v>
      </c>
      <c r="C70" s="30">
        <v>24.0</v>
      </c>
      <c r="D70" s="36" t="s">
        <v>49</v>
      </c>
      <c r="E70" s="30">
        <v>595.0</v>
      </c>
      <c r="F70" s="37" t="s">
        <v>295</v>
      </c>
      <c r="G70" s="39"/>
      <c r="H70" s="43"/>
      <c r="I70" s="37" t="s">
        <v>285</v>
      </c>
      <c r="J70" s="42" t="s">
        <v>310</v>
      </c>
      <c r="K70" s="43" t="s">
        <v>95</v>
      </c>
      <c r="L70" s="44" t="s">
        <v>81</v>
      </c>
      <c r="M70" s="45" t="s">
        <v>0</v>
      </c>
      <c r="N70" s="45">
        <v>3.0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4">
        <v>70.0</v>
      </c>
      <c r="B71" s="29" t="str">
        <f t="shared" si="1"/>
        <v>214A-2x1</v>
      </c>
      <c r="C71" s="30">
        <v>30.0</v>
      </c>
      <c r="D71" s="36" t="s">
        <v>49</v>
      </c>
      <c r="E71" s="30">
        <v>365.0</v>
      </c>
      <c r="F71" s="37" t="s">
        <v>295</v>
      </c>
      <c r="G71" s="67" t="s">
        <v>436</v>
      </c>
      <c r="H71" s="41" t="s">
        <v>83</v>
      </c>
      <c r="I71" s="36" t="s">
        <v>370</v>
      </c>
      <c r="J71" s="37" t="s">
        <v>409</v>
      </c>
      <c r="K71" s="43" t="s">
        <v>95</v>
      </c>
      <c r="L71" s="44" t="s">
        <v>3</v>
      </c>
      <c r="M71" s="45" t="s">
        <v>0</v>
      </c>
      <c r="N71" s="45">
        <v>2.0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4">
        <v>71.0</v>
      </c>
      <c r="B72" s="29" t="str">
        <f t="shared" si="1"/>
        <v>224A-2x1</v>
      </c>
      <c r="C72" s="30">
        <v>29.0</v>
      </c>
      <c r="D72" s="36" t="s">
        <v>49</v>
      </c>
      <c r="E72" s="30">
        <v>365.0</v>
      </c>
      <c r="F72" s="37" t="s">
        <v>295</v>
      </c>
      <c r="G72" s="67" t="s">
        <v>439</v>
      </c>
      <c r="H72" s="41" t="s">
        <v>83</v>
      </c>
      <c r="I72" s="36" t="s">
        <v>370</v>
      </c>
      <c r="J72" s="37" t="s">
        <v>414</v>
      </c>
      <c r="K72" s="43" t="s">
        <v>95</v>
      </c>
      <c r="L72" s="44" t="s">
        <v>3</v>
      </c>
      <c r="M72" s="45" t="s">
        <v>0</v>
      </c>
      <c r="N72" s="45">
        <v>2.0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4">
        <v>72.0</v>
      </c>
      <c r="B73" s="29" t="str">
        <f t="shared" si="1"/>
        <v>224B-2x1</v>
      </c>
      <c r="C73" s="30">
        <v>46.0</v>
      </c>
      <c r="D73" s="36" t="s">
        <v>49</v>
      </c>
      <c r="E73" s="30">
        <v>365.0</v>
      </c>
      <c r="F73" s="37" t="s">
        <v>295</v>
      </c>
      <c r="G73" s="67" t="s">
        <v>443</v>
      </c>
      <c r="H73" s="41" t="s">
        <v>83</v>
      </c>
      <c r="I73" s="36" t="s">
        <v>370</v>
      </c>
      <c r="J73" s="37" t="s">
        <v>420</v>
      </c>
      <c r="K73" s="43" t="s">
        <v>95</v>
      </c>
      <c r="L73" s="44" t="s">
        <v>3</v>
      </c>
      <c r="M73" s="45" t="s">
        <v>0</v>
      </c>
      <c r="N73" s="45">
        <v>2.0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4">
        <v>73.0</v>
      </c>
      <c r="B74" s="29" t="str">
        <f t="shared" si="1"/>
        <v>294A-2x1</v>
      </c>
      <c r="C74" s="30">
        <v>40.0</v>
      </c>
      <c r="D74" s="36" t="s">
        <v>49</v>
      </c>
      <c r="E74" s="30">
        <v>365.0</v>
      </c>
      <c r="F74" s="37" t="s">
        <v>295</v>
      </c>
      <c r="G74" s="67" t="s">
        <v>449</v>
      </c>
      <c r="H74" s="41" t="s">
        <v>83</v>
      </c>
      <c r="I74" s="36" t="s">
        <v>332</v>
      </c>
      <c r="J74" s="37" t="s">
        <v>453</v>
      </c>
      <c r="K74" s="43" t="s">
        <v>95</v>
      </c>
      <c r="L74" s="44" t="s">
        <v>3</v>
      </c>
      <c r="M74" s="45" t="s">
        <v>0</v>
      </c>
      <c r="N74" s="45">
        <v>2.0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4">
        <v>74.0</v>
      </c>
      <c r="B75" s="29" t="str">
        <f t="shared" si="1"/>
        <v>2005-2x1</v>
      </c>
      <c r="C75" s="30">
        <v>29.0</v>
      </c>
      <c r="D75" s="36" t="s">
        <v>49</v>
      </c>
      <c r="E75" s="30">
        <v>345.0</v>
      </c>
      <c r="F75" s="37" t="s">
        <v>295</v>
      </c>
      <c r="G75" s="62"/>
      <c r="H75" s="43"/>
      <c r="I75" s="37" t="s">
        <v>86</v>
      </c>
      <c r="J75" s="42" t="s">
        <v>296</v>
      </c>
      <c r="K75" s="43" t="s">
        <v>95</v>
      </c>
      <c r="L75" s="44" t="s">
        <v>3</v>
      </c>
      <c r="M75" s="45" t="s">
        <v>0</v>
      </c>
      <c r="N75" s="45">
        <v>2.0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4">
        <v>75.0</v>
      </c>
      <c r="B76" s="29" t="str">
        <f t="shared" si="1"/>
        <v>2015-2x1</v>
      </c>
      <c r="C76" s="30">
        <v>21.0</v>
      </c>
      <c r="D76" s="36" t="s">
        <v>49</v>
      </c>
      <c r="E76" s="30">
        <v>345.0</v>
      </c>
      <c r="F76" s="37" t="s">
        <v>295</v>
      </c>
      <c r="G76" s="62"/>
      <c r="H76" s="43"/>
      <c r="I76" s="37" t="s">
        <v>86</v>
      </c>
      <c r="J76" s="42" t="s">
        <v>456</v>
      </c>
      <c r="K76" s="43" t="s">
        <v>95</v>
      </c>
      <c r="L76" s="44" t="s">
        <v>3</v>
      </c>
      <c r="M76" s="45" t="s">
        <v>0</v>
      </c>
      <c r="N76" s="45">
        <v>2.0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4">
        <v>76.0</v>
      </c>
      <c r="B77" s="29" t="str">
        <f t="shared" si="1"/>
        <v>225A-2x1</v>
      </c>
      <c r="C77" s="30">
        <v>6.0</v>
      </c>
      <c r="D77" s="36" t="s">
        <v>49</v>
      </c>
      <c r="E77" s="30">
        <v>490.0</v>
      </c>
      <c r="F77" s="37" t="s">
        <v>295</v>
      </c>
      <c r="G77" s="62"/>
      <c r="H77" s="43"/>
      <c r="I77" s="37" t="s">
        <v>86</v>
      </c>
      <c r="J77" s="42" t="s">
        <v>298</v>
      </c>
      <c r="K77" s="43" t="s">
        <v>95</v>
      </c>
      <c r="L77" s="44" t="s">
        <v>3</v>
      </c>
      <c r="M77" s="45" t="s">
        <v>0</v>
      </c>
      <c r="N77" s="45">
        <v>2.0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4">
        <v>77.0</v>
      </c>
      <c r="B78" s="29" t="str">
        <f t="shared" si="1"/>
        <v>235B-2x1</v>
      </c>
      <c r="C78" s="30">
        <v>30.0</v>
      </c>
      <c r="D78" s="36" t="s">
        <v>49</v>
      </c>
      <c r="E78" s="30">
        <v>495.0</v>
      </c>
      <c r="F78" s="37" t="s">
        <v>295</v>
      </c>
      <c r="G78" s="62"/>
      <c r="H78" s="43"/>
      <c r="I78" s="37" t="s">
        <v>168</v>
      </c>
      <c r="J78" s="42" t="s">
        <v>460</v>
      </c>
      <c r="K78" s="43" t="s">
        <v>95</v>
      </c>
      <c r="L78" s="44" t="s">
        <v>3</v>
      </c>
      <c r="M78" s="45" t="s">
        <v>0</v>
      </c>
      <c r="N78" s="45">
        <v>2.0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4">
        <v>78.0</v>
      </c>
      <c r="B79" s="29" t="str">
        <f t="shared" si="1"/>
        <v>275B-2x1</v>
      </c>
      <c r="C79" s="30">
        <v>28.0</v>
      </c>
      <c r="D79" s="36" t="s">
        <v>49</v>
      </c>
      <c r="E79" s="30">
        <v>495.0</v>
      </c>
      <c r="F79" s="37" t="s">
        <v>295</v>
      </c>
      <c r="G79" s="62"/>
      <c r="H79" s="43"/>
      <c r="I79" s="37" t="s">
        <v>229</v>
      </c>
      <c r="J79" s="42" t="s">
        <v>301</v>
      </c>
      <c r="K79" s="43" t="s">
        <v>95</v>
      </c>
      <c r="L79" s="44" t="s">
        <v>3</v>
      </c>
      <c r="M79" s="45" t="s">
        <v>0</v>
      </c>
      <c r="N79" s="45">
        <v>2.0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4">
        <v>79.0</v>
      </c>
      <c r="B80" s="29" t="str">
        <f t="shared" si="1"/>
        <v>245B-2x1</v>
      </c>
      <c r="C80" s="30">
        <v>30.0</v>
      </c>
      <c r="D80" s="36" t="s">
        <v>49</v>
      </c>
      <c r="E80" s="30">
        <v>495.0</v>
      </c>
      <c r="F80" s="37" t="s">
        <v>295</v>
      </c>
      <c r="G80" s="62"/>
      <c r="H80" s="43"/>
      <c r="I80" s="37" t="s">
        <v>168</v>
      </c>
      <c r="J80" s="42" t="s">
        <v>463</v>
      </c>
      <c r="K80" s="43" t="s">
        <v>95</v>
      </c>
      <c r="L80" s="44" t="s">
        <v>3</v>
      </c>
      <c r="M80" s="45" t="s">
        <v>0</v>
      </c>
      <c r="N80" s="45">
        <v>2.0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4">
        <v>80.0</v>
      </c>
      <c r="B81" s="29" t="str">
        <f t="shared" si="1"/>
        <v>265B-2x1</v>
      </c>
      <c r="C81" s="30">
        <v>22.0</v>
      </c>
      <c r="D81" s="36" t="s">
        <v>49</v>
      </c>
      <c r="E81" s="30">
        <v>495.0</v>
      </c>
      <c r="F81" s="37" t="s">
        <v>295</v>
      </c>
      <c r="G81" s="62"/>
      <c r="H81" s="43"/>
      <c r="I81" s="37" t="s">
        <v>229</v>
      </c>
      <c r="J81" s="42" t="s">
        <v>464</v>
      </c>
      <c r="K81" s="43" t="s">
        <v>95</v>
      </c>
      <c r="L81" s="44" t="s">
        <v>3</v>
      </c>
      <c r="M81" s="45" t="s">
        <v>0</v>
      </c>
      <c r="N81" s="45">
        <v>2.0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4">
        <v>81.0</v>
      </c>
      <c r="B82" s="29" t="str">
        <f t="shared" si="1"/>
        <v>215B-2x1</v>
      </c>
      <c r="C82" s="30">
        <v>23.0</v>
      </c>
      <c r="D82" s="36" t="s">
        <v>49</v>
      </c>
      <c r="E82" s="30">
        <v>495.0</v>
      </c>
      <c r="F82" s="37" t="s">
        <v>295</v>
      </c>
      <c r="G82" s="62"/>
      <c r="H82" s="43"/>
      <c r="I82" s="37" t="s">
        <v>86</v>
      </c>
      <c r="J82" s="42" t="s">
        <v>304</v>
      </c>
      <c r="K82" s="43" t="s">
        <v>95</v>
      </c>
      <c r="L82" s="44" t="s">
        <v>3</v>
      </c>
      <c r="M82" s="45" t="s">
        <v>0</v>
      </c>
      <c r="N82" s="45">
        <v>2.0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4">
        <v>82.0</v>
      </c>
      <c r="B83" s="29" t="str">
        <f t="shared" si="1"/>
        <v>235A-2x1</v>
      </c>
      <c r="C83" s="30">
        <v>17.0</v>
      </c>
      <c r="D83" s="36" t="s">
        <v>49</v>
      </c>
      <c r="E83" s="30">
        <v>495.0</v>
      </c>
      <c r="F83" s="37" t="s">
        <v>295</v>
      </c>
      <c r="G83" s="62"/>
      <c r="H83" s="43"/>
      <c r="I83" s="37" t="s">
        <v>168</v>
      </c>
      <c r="J83" s="42" t="s">
        <v>467</v>
      </c>
      <c r="K83" s="43" t="s">
        <v>95</v>
      </c>
      <c r="L83" s="44" t="s">
        <v>3</v>
      </c>
      <c r="M83" s="45" t="s">
        <v>0</v>
      </c>
      <c r="N83" s="45">
        <v>2.0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4">
        <v>83.0</v>
      </c>
      <c r="B84" s="29" t="str">
        <f t="shared" si="1"/>
        <v>2005-4x1</v>
      </c>
      <c r="C84" s="30">
        <v>28.0</v>
      </c>
      <c r="D84" s="36" t="s">
        <v>49</v>
      </c>
      <c r="E84" s="30">
        <v>570.0</v>
      </c>
      <c r="F84" s="37" t="s">
        <v>295</v>
      </c>
      <c r="G84" s="62"/>
      <c r="H84" s="43"/>
      <c r="I84" s="37" t="s">
        <v>229</v>
      </c>
      <c r="J84" s="42" t="s">
        <v>296</v>
      </c>
      <c r="K84" s="43" t="s">
        <v>95</v>
      </c>
      <c r="L84" s="44" t="s">
        <v>93</v>
      </c>
      <c r="M84" s="45" t="s">
        <v>0</v>
      </c>
      <c r="N84" s="45">
        <v>4.0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4">
        <v>84.0</v>
      </c>
      <c r="B85" s="29" t="str">
        <f t="shared" si="1"/>
        <v>235B-4x1</v>
      </c>
      <c r="C85" s="30">
        <v>24.0</v>
      </c>
      <c r="D85" s="36" t="s">
        <v>49</v>
      </c>
      <c r="E85" s="30">
        <v>675.0</v>
      </c>
      <c r="F85" s="37" t="s">
        <v>295</v>
      </c>
      <c r="G85" s="62"/>
      <c r="H85" s="43"/>
      <c r="I85" s="37" t="s">
        <v>285</v>
      </c>
      <c r="J85" s="42" t="s">
        <v>460</v>
      </c>
      <c r="K85" s="43" t="s">
        <v>95</v>
      </c>
      <c r="L85" s="44" t="s">
        <v>93</v>
      </c>
      <c r="M85" s="45" t="s">
        <v>0</v>
      </c>
      <c r="N85" s="45">
        <v>4.0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4">
        <v>85.0</v>
      </c>
      <c r="B86" s="29" t="str">
        <f t="shared" si="1"/>
        <v>215B-4x1</v>
      </c>
      <c r="C86" s="30">
        <v>28.0</v>
      </c>
      <c r="D86" s="36" t="s">
        <v>49</v>
      </c>
      <c r="E86" s="30">
        <v>675.0</v>
      </c>
      <c r="F86" s="37" t="s">
        <v>295</v>
      </c>
      <c r="G86" s="62"/>
      <c r="H86" s="43"/>
      <c r="I86" s="37" t="s">
        <v>229</v>
      </c>
      <c r="J86" s="42" t="s">
        <v>304</v>
      </c>
      <c r="K86" s="43" t="s">
        <v>95</v>
      </c>
      <c r="L86" s="44" t="s">
        <v>93</v>
      </c>
      <c r="M86" s="45" t="s">
        <v>0</v>
      </c>
      <c r="N86" s="45">
        <v>4.0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4">
        <v>86.0</v>
      </c>
      <c r="B87" s="29" t="str">
        <f t="shared" si="1"/>
        <v>235A-4x1</v>
      </c>
      <c r="C87" s="30">
        <v>23.0</v>
      </c>
      <c r="D87" s="36" t="s">
        <v>49</v>
      </c>
      <c r="E87" s="30">
        <v>675.0</v>
      </c>
      <c r="F87" s="37" t="s">
        <v>295</v>
      </c>
      <c r="G87" s="62"/>
      <c r="H87" s="43"/>
      <c r="I87" s="37" t="s">
        <v>285</v>
      </c>
      <c r="J87" s="42" t="s">
        <v>467</v>
      </c>
      <c r="K87" s="43" t="s">
        <v>95</v>
      </c>
      <c r="L87" s="44" t="s">
        <v>93</v>
      </c>
      <c r="M87" s="45" t="s">
        <v>0</v>
      </c>
      <c r="N87" s="45">
        <v>4.0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4">
        <v>87.0</v>
      </c>
      <c r="B88" s="29" t="str">
        <f t="shared" si="1"/>
        <v>7005-4x1</v>
      </c>
      <c r="C88" s="30">
        <v>48.0</v>
      </c>
      <c r="D88" s="36" t="s">
        <v>49</v>
      </c>
      <c r="E88" s="30">
        <v>750.0</v>
      </c>
      <c r="F88" s="37" t="s">
        <v>295</v>
      </c>
      <c r="G88" s="62"/>
      <c r="H88" s="43"/>
      <c r="I88" s="37" t="s">
        <v>86</v>
      </c>
      <c r="J88" s="42" t="s">
        <v>472</v>
      </c>
      <c r="K88" s="43" t="s">
        <v>95</v>
      </c>
      <c r="L88" s="44" t="s">
        <v>93</v>
      </c>
      <c r="M88" s="45" t="s">
        <v>0</v>
      </c>
      <c r="N88" s="45">
        <v>4.0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4">
        <v>88.0</v>
      </c>
      <c r="B89" s="29" t="str">
        <f t="shared" si="1"/>
        <v>7004-4x1</v>
      </c>
      <c r="C89" s="30">
        <v>40.0</v>
      </c>
      <c r="D89" s="36" t="s">
        <v>49</v>
      </c>
      <c r="E89" s="30">
        <v>750.0</v>
      </c>
      <c r="F89" s="37" t="s">
        <v>295</v>
      </c>
      <c r="G89" s="62"/>
      <c r="H89" s="43"/>
      <c r="I89" s="37" t="s">
        <v>285</v>
      </c>
      <c r="J89" s="42" t="s">
        <v>474</v>
      </c>
      <c r="K89" s="43" t="s">
        <v>95</v>
      </c>
      <c r="L89" s="44" t="s">
        <v>93</v>
      </c>
      <c r="M89" s="45" t="s">
        <v>0</v>
      </c>
      <c r="N89" s="45">
        <v>4.0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4">
        <v>89.0</v>
      </c>
      <c r="B90" s="29" t="str">
        <f t="shared" si="1"/>
        <v>214A-4x1</v>
      </c>
      <c r="C90" s="30">
        <v>6.0</v>
      </c>
      <c r="D90" s="36" t="s">
        <v>49</v>
      </c>
      <c r="E90" s="30">
        <v>680.0</v>
      </c>
      <c r="F90" s="37" t="s">
        <v>295</v>
      </c>
      <c r="G90" s="62" t="s">
        <v>476</v>
      </c>
      <c r="H90" s="41" t="s">
        <v>83</v>
      </c>
      <c r="I90" s="36" t="s">
        <v>385</v>
      </c>
      <c r="J90" s="42" t="s">
        <v>409</v>
      </c>
      <c r="K90" s="41" t="s">
        <v>95</v>
      </c>
      <c r="L90" s="44" t="s">
        <v>93</v>
      </c>
      <c r="M90" s="45" t="s">
        <v>0</v>
      </c>
      <c r="N90" s="45">
        <v>4.0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4">
        <v>90.0</v>
      </c>
      <c r="B91" s="29" t="str">
        <f t="shared" si="1"/>
        <v>235B-6x1</v>
      </c>
      <c r="C91" s="30">
        <v>18.0</v>
      </c>
      <c r="D91" s="36" t="s">
        <v>49</v>
      </c>
      <c r="E91" s="30">
        <v>820.0</v>
      </c>
      <c r="F91" s="37" t="s">
        <v>295</v>
      </c>
      <c r="G91" s="62"/>
      <c r="H91" s="43"/>
      <c r="I91" s="37" t="s">
        <v>316</v>
      </c>
      <c r="J91" s="42" t="s">
        <v>460</v>
      </c>
      <c r="K91" s="43" t="s">
        <v>95</v>
      </c>
      <c r="L91" s="44" t="s">
        <v>100</v>
      </c>
      <c r="M91" s="45" t="s">
        <v>0</v>
      </c>
      <c r="N91" s="45">
        <v>6.0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4">
        <v>91.0</v>
      </c>
      <c r="B92" s="29" t="str">
        <f t="shared" si="1"/>
        <v>215B-6x1</v>
      </c>
      <c r="C92" s="30">
        <v>30.0</v>
      </c>
      <c r="D92" s="36" t="s">
        <v>49</v>
      </c>
      <c r="E92" s="30">
        <v>820.0</v>
      </c>
      <c r="F92" s="37" t="s">
        <v>295</v>
      </c>
      <c r="G92" s="62"/>
      <c r="H92" s="43"/>
      <c r="I92" s="37" t="s">
        <v>285</v>
      </c>
      <c r="J92" s="42" t="s">
        <v>304</v>
      </c>
      <c r="K92" s="43" t="s">
        <v>95</v>
      </c>
      <c r="L92" s="44" t="s">
        <v>100</v>
      </c>
      <c r="M92" s="45" t="s">
        <v>0</v>
      </c>
      <c r="N92" s="45">
        <v>6.0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4">
        <v>92.0</v>
      </c>
      <c r="B93" s="29" t="str">
        <f t="shared" si="1"/>
        <v>235A-6x1</v>
      </c>
      <c r="C93" s="30">
        <v>24.0</v>
      </c>
      <c r="D93" s="36" t="s">
        <v>49</v>
      </c>
      <c r="E93" s="30">
        <v>820.0</v>
      </c>
      <c r="F93" s="37" t="s">
        <v>295</v>
      </c>
      <c r="G93" s="62"/>
      <c r="H93" s="43"/>
      <c r="I93" s="37" t="s">
        <v>316</v>
      </c>
      <c r="J93" s="42" t="s">
        <v>467</v>
      </c>
      <c r="K93" s="43" t="s">
        <v>95</v>
      </c>
      <c r="L93" s="44" t="s">
        <v>100</v>
      </c>
      <c r="M93" s="45" t="s">
        <v>0</v>
      </c>
      <c r="N93" s="45">
        <v>6.0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4">
        <v>93.0</v>
      </c>
      <c r="B94" s="29" t="str">
        <f t="shared" si="1"/>
        <v>205B-6x1</v>
      </c>
      <c r="C94" s="30">
        <v>57.0</v>
      </c>
      <c r="D94" s="36" t="s">
        <v>49</v>
      </c>
      <c r="E94" s="30">
        <v>820.0</v>
      </c>
      <c r="F94" s="37" t="s">
        <v>295</v>
      </c>
      <c r="G94" s="62"/>
      <c r="H94" s="43"/>
      <c r="I94" s="37" t="s">
        <v>285</v>
      </c>
      <c r="J94" s="42" t="s">
        <v>485</v>
      </c>
      <c r="K94" s="43" t="s">
        <v>95</v>
      </c>
      <c r="L94" s="44" t="s">
        <v>100</v>
      </c>
      <c r="M94" s="45" t="s">
        <v>0</v>
      </c>
      <c r="N94" s="45">
        <v>6.0</v>
      </c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4">
        <v>94.0</v>
      </c>
      <c r="B95" s="29" t="str">
        <f t="shared" si="1"/>
        <v>325-6x1</v>
      </c>
      <c r="C95" s="30">
        <v>6.0</v>
      </c>
      <c r="D95" s="36" t="s">
        <v>49</v>
      </c>
      <c r="E95" s="30">
        <v>790.0</v>
      </c>
      <c r="F95" s="37" t="s">
        <v>295</v>
      </c>
      <c r="G95" s="62"/>
      <c r="H95" s="43"/>
      <c r="I95" s="37" t="s">
        <v>316</v>
      </c>
      <c r="J95" s="42" t="s">
        <v>307</v>
      </c>
      <c r="K95" s="43" t="s">
        <v>95</v>
      </c>
      <c r="L95" s="44" t="s">
        <v>100</v>
      </c>
      <c r="M95" s="45" t="s">
        <v>0</v>
      </c>
      <c r="N95" s="45">
        <v>6.0</v>
      </c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4">
        <v>95.0</v>
      </c>
      <c r="B96" s="29" t="str">
        <f t="shared" si="1"/>
        <v>335-6x1</v>
      </c>
      <c r="C96" s="30">
        <v>18.0</v>
      </c>
      <c r="D96" s="36" t="s">
        <v>49</v>
      </c>
      <c r="E96" s="30">
        <v>790.0</v>
      </c>
      <c r="F96" s="37" t="s">
        <v>295</v>
      </c>
      <c r="G96" s="62"/>
      <c r="H96" s="43"/>
      <c r="I96" s="37" t="s">
        <v>396</v>
      </c>
      <c r="J96" s="42" t="s">
        <v>310</v>
      </c>
      <c r="K96" s="43" t="s">
        <v>95</v>
      </c>
      <c r="L96" s="44" t="s">
        <v>100</v>
      </c>
      <c r="M96" s="45" t="s">
        <v>0</v>
      </c>
      <c r="N96" s="45">
        <v>6.0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4">
        <v>96.0</v>
      </c>
      <c r="B97" s="29" t="str">
        <f t="shared" si="1"/>
        <v>7005-6x1</v>
      </c>
      <c r="C97" s="30">
        <v>49.0</v>
      </c>
      <c r="D97" s="36" t="s">
        <v>49</v>
      </c>
      <c r="E97" s="30">
        <v>895.0</v>
      </c>
      <c r="F97" s="37" t="s">
        <v>295</v>
      </c>
      <c r="G97" s="62"/>
      <c r="H97" s="43"/>
      <c r="I97" s="37" t="s">
        <v>168</v>
      </c>
      <c r="J97" s="42" t="s">
        <v>472</v>
      </c>
      <c r="K97" s="43" t="s">
        <v>95</v>
      </c>
      <c r="L97" s="44" t="s">
        <v>100</v>
      </c>
      <c r="M97" s="45" t="s">
        <v>0</v>
      </c>
      <c r="N97" s="45">
        <v>6.0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4">
        <v>97.0</v>
      </c>
      <c r="B98" s="29" t="str">
        <f t="shared" si="1"/>
        <v>224B-6x1</v>
      </c>
      <c r="C98" s="30">
        <v>11.0</v>
      </c>
      <c r="D98" s="36" t="s">
        <v>49</v>
      </c>
      <c r="E98" s="30">
        <v>820.0</v>
      </c>
      <c r="F98" s="37" t="s">
        <v>295</v>
      </c>
      <c r="G98" s="62" t="s">
        <v>488</v>
      </c>
      <c r="H98" s="41" t="s">
        <v>83</v>
      </c>
      <c r="I98" s="36" t="s">
        <v>492</v>
      </c>
      <c r="J98" s="42" t="s">
        <v>420</v>
      </c>
      <c r="K98" s="41" t="s">
        <v>95</v>
      </c>
      <c r="L98" s="44" t="s">
        <v>100</v>
      </c>
      <c r="M98" s="45" t="s">
        <v>0</v>
      </c>
      <c r="N98" s="45">
        <v>6.0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4">
        <v>98.0</v>
      </c>
      <c r="B99" s="29" t="str">
        <f t="shared" si="1"/>
        <v>264A-6x1</v>
      </c>
      <c r="C99" s="30">
        <v>22.0</v>
      </c>
      <c r="D99" s="36" t="s">
        <v>49</v>
      </c>
      <c r="E99" s="30">
        <v>820.0</v>
      </c>
      <c r="F99" s="37" t="s">
        <v>295</v>
      </c>
      <c r="G99" s="62" t="s">
        <v>493</v>
      </c>
      <c r="H99" s="41" t="s">
        <v>83</v>
      </c>
      <c r="I99" s="36" t="s">
        <v>315</v>
      </c>
      <c r="J99" s="42" t="s">
        <v>423</v>
      </c>
      <c r="K99" s="41" t="s">
        <v>95</v>
      </c>
      <c r="L99" s="44" t="s">
        <v>100</v>
      </c>
      <c r="M99" s="45" t="s">
        <v>0</v>
      </c>
      <c r="N99" s="45">
        <v>6.0</v>
      </c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4">
        <v>99.0</v>
      </c>
      <c r="B100" s="29" t="str">
        <f t="shared" si="1"/>
        <v>224A-6x1</v>
      </c>
      <c r="C100" s="30">
        <v>6.0</v>
      </c>
      <c r="D100" s="36" t="s">
        <v>49</v>
      </c>
      <c r="E100" s="30">
        <v>820.0</v>
      </c>
      <c r="F100" s="37" t="s">
        <v>295</v>
      </c>
      <c r="G100" s="62" t="s">
        <v>497</v>
      </c>
      <c r="H100" s="41" t="s">
        <v>83</v>
      </c>
      <c r="I100" s="36" t="s">
        <v>492</v>
      </c>
      <c r="J100" s="42" t="s">
        <v>414</v>
      </c>
      <c r="K100" s="41" t="s">
        <v>95</v>
      </c>
      <c r="L100" s="44" t="s">
        <v>100</v>
      </c>
      <c r="M100" s="45" t="s">
        <v>0</v>
      </c>
      <c r="N100" s="45">
        <v>6.0</v>
      </c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4">
        <v>100.0</v>
      </c>
      <c r="B101" s="29" t="str">
        <f t="shared" si="1"/>
        <v>MIX-7x10</v>
      </c>
      <c r="C101" s="30">
        <v>300.0</v>
      </c>
      <c r="D101" s="36" t="s">
        <v>49</v>
      </c>
      <c r="E101" s="30">
        <v>85.0</v>
      </c>
      <c r="F101" s="37" t="s">
        <v>51</v>
      </c>
      <c r="G101" s="39" t="s">
        <v>500</v>
      </c>
      <c r="H101" s="43"/>
      <c r="I101" s="37" t="s">
        <v>86</v>
      </c>
      <c r="J101" s="42" t="s">
        <v>502</v>
      </c>
      <c r="K101" s="43" t="s">
        <v>95</v>
      </c>
      <c r="L101" s="44" t="s">
        <v>40</v>
      </c>
      <c r="M101" s="45" t="s">
        <v>0</v>
      </c>
      <c r="N101" s="45">
        <v>4.0</v>
      </c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4">
        <v>101.0</v>
      </c>
      <c r="B102" s="29" t="str">
        <f t="shared" si="1"/>
        <v>MIX-8x8</v>
      </c>
      <c r="C102" s="30">
        <v>2000.0</v>
      </c>
      <c r="D102" s="36" t="s">
        <v>49</v>
      </c>
      <c r="E102" s="30">
        <v>85.0</v>
      </c>
      <c r="F102" s="37" t="s">
        <v>51</v>
      </c>
      <c r="G102" s="39" t="s">
        <v>500</v>
      </c>
      <c r="H102" s="43"/>
      <c r="I102" s="37" t="s">
        <v>86</v>
      </c>
      <c r="J102" s="42" t="s">
        <v>502</v>
      </c>
      <c r="K102" s="43" t="s">
        <v>95</v>
      </c>
      <c r="L102" s="44" t="s">
        <v>29</v>
      </c>
      <c r="M102" s="45" t="s">
        <v>0</v>
      </c>
      <c r="N102" s="45">
        <v>4.0</v>
      </c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4">
        <v>102.0</v>
      </c>
      <c r="B103" s="29" t="str">
        <f t="shared" si="1"/>
        <v>MIX-8x12</v>
      </c>
      <c r="C103" s="30">
        <v>1440.0</v>
      </c>
      <c r="D103" s="36" t="s">
        <v>49</v>
      </c>
      <c r="E103" s="30">
        <v>150.0</v>
      </c>
      <c r="F103" s="37" t="s">
        <v>51</v>
      </c>
      <c r="G103" s="39" t="s">
        <v>500</v>
      </c>
      <c r="H103" s="43"/>
      <c r="I103" s="37" t="s">
        <v>86</v>
      </c>
      <c r="J103" s="42" t="s">
        <v>502</v>
      </c>
      <c r="K103" s="43" t="s">
        <v>95</v>
      </c>
      <c r="L103" s="44" t="s">
        <v>34</v>
      </c>
      <c r="M103" s="45" t="s">
        <v>0</v>
      </c>
      <c r="N103" s="45">
        <v>4.0</v>
      </c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4">
        <v>103.0</v>
      </c>
      <c r="B104" s="29" t="str">
        <f t="shared" si="1"/>
        <v>MIX-10x10</v>
      </c>
      <c r="C104" s="30">
        <v>110.0</v>
      </c>
      <c r="D104" s="36" t="s">
        <v>49</v>
      </c>
      <c r="E104" s="30">
        <v>15.0</v>
      </c>
      <c r="F104" s="37" t="s">
        <v>51</v>
      </c>
      <c r="G104" s="39" t="s">
        <v>500</v>
      </c>
      <c r="H104" s="43"/>
      <c r="I104" s="37" t="s">
        <v>229</v>
      </c>
      <c r="J104" s="42" t="s">
        <v>502</v>
      </c>
      <c r="K104" s="43" t="s">
        <v>95</v>
      </c>
      <c r="L104" s="44" t="s">
        <v>37</v>
      </c>
      <c r="M104" s="45" t="s">
        <v>0</v>
      </c>
      <c r="N104" s="45">
        <v>4.0</v>
      </c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4">
        <v>104.0</v>
      </c>
      <c r="B105" s="29" t="str">
        <f t="shared" si="1"/>
        <v>MIX-10x15</v>
      </c>
      <c r="C105" s="30">
        <v>450.0</v>
      </c>
      <c r="D105" s="36" t="s">
        <v>49</v>
      </c>
      <c r="E105" s="30">
        <v>170.0</v>
      </c>
      <c r="F105" s="37" t="s">
        <v>51</v>
      </c>
      <c r="G105" s="39" t="s">
        <v>500</v>
      </c>
      <c r="H105" s="43"/>
      <c r="I105" s="37" t="s">
        <v>285</v>
      </c>
      <c r="J105" s="42" t="s">
        <v>502</v>
      </c>
      <c r="K105" s="43" t="s">
        <v>95</v>
      </c>
      <c r="L105" s="44" t="s">
        <v>45</v>
      </c>
      <c r="M105" s="45" t="s">
        <v>0</v>
      </c>
      <c r="N105" s="45">
        <v>6.0</v>
      </c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4">
        <v>105.0</v>
      </c>
      <c r="B106" s="29" t="str">
        <f t="shared" si="1"/>
        <v>MIX-12x12</v>
      </c>
      <c r="C106" s="30">
        <v>70.0</v>
      </c>
      <c r="D106" s="36" t="s">
        <v>49</v>
      </c>
      <c r="E106" s="30">
        <v>170.0</v>
      </c>
      <c r="F106" s="37" t="s">
        <v>51</v>
      </c>
      <c r="G106" s="39" t="s">
        <v>500</v>
      </c>
      <c r="H106" s="43"/>
      <c r="I106" s="37" t="s">
        <v>299</v>
      </c>
      <c r="J106" s="42" t="s">
        <v>502</v>
      </c>
      <c r="K106" s="43" t="s">
        <v>95</v>
      </c>
      <c r="L106" s="44" t="s">
        <v>48</v>
      </c>
      <c r="M106" s="45" t="s">
        <v>0</v>
      </c>
      <c r="N106" s="45">
        <v>4.0</v>
      </c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4">
        <v>106.0</v>
      </c>
      <c r="B107" s="29" t="str">
        <f t="shared" si="1"/>
        <v>MIX-12x18</v>
      </c>
      <c r="C107" s="30">
        <v>40.0</v>
      </c>
      <c r="D107" s="36" t="s">
        <v>49</v>
      </c>
      <c r="E107" s="30">
        <v>235.0</v>
      </c>
      <c r="F107" s="37" t="s">
        <v>51</v>
      </c>
      <c r="G107" s="39" t="s">
        <v>500</v>
      </c>
      <c r="H107" s="43"/>
      <c r="I107" s="37" t="s">
        <v>316</v>
      </c>
      <c r="J107" s="42" t="s">
        <v>502</v>
      </c>
      <c r="K107" s="43" t="s">
        <v>95</v>
      </c>
      <c r="L107" s="44" t="s">
        <v>53</v>
      </c>
      <c r="M107" s="45" t="s">
        <v>0</v>
      </c>
      <c r="N107" s="45">
        <v>6.0</v>
      </c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4">
        <v>107.0</v>
      </c>
      <c r="B108" s="29" t="str">
        <f t="shared" si="1"/>
        <v>2051-11x11</v>
      </c>
      <c r="C108" s="30">
        <v>60.0</v>
      </c>
      <c r="D108" s="36" t="s">
        <v>49</v>
      </c>
      <c r="E108" s="30">
        <v>155.0</v>
      </c>
      <c r="F108" s="37" t="s">
        <v>51</v>
      </c>
      <c r="G108" s="62"/>
      <c r="H108" s="43"/>
      <c r="I108" s="37" t="s">
        <v>229</v>
      </c>
      <c r="J108" s="42" t="s">
        <v>509</v>
      </c>
      <c r="K108" s="43" t="s">
        <v>95</v>
      </c>
      <c r="L108" s="44" t="s">
        <v>41</v>
      </c>
      <c r="M108" s="45" t="s">
        <v>0</v>
      </c>
      <c r="N108" s="45">
        <v>4.0</v>
      </c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4">
        <v>108.0</v>
      </c>
      <c r="B109" s="29" t="str">
        <f t="shared" si="1"/>
        <v>2049-11x11</v>
      </c>
      <c r="C109" s="30">
        <v>40.0</v>
      </c>
      <c r="D109" s="36" t="s">
        <v>49</v>
      </c>
      <c r="E109" s="30">
        <v>155.0</v>
      </c>
      <c r="F109" s="37" t="s">
        <v>51</v>
      </c>
      <c r="G109" s="62"/>
      <c r="H109" s="43"/>
      <c r="I109" s="37" t="s">
        <v>229</v>
      </c>
      <c r="J109" s="42" t="s">
        <v>510</v>
      </c>
      <c r="K109" s="43" t="s">
        <v>95</v>
      </c>
      <c r="L109" s="44" t="s">
        <v>41</v>
      </c>
      <c r="M109" s="45" t="s">
        <v>0</v>
      </c>
      <c r="N109" s="45">
        <v>4.0</v>
      </c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4">
        <v>109.0</v>
      </c>
      <c r="B110" s="29" t="str">
        <f t="shared" si="1"/>
        <v>024-2x1</v>
      </c>
      <c r="C110" s="30">
        <v>5.0</v>
      </c>
      <c r="D110" s="36" t="s">
        <v>49</v>
      </c>
      <c r="E110" s="30">
        <v>495.0</v>
      </c>
      <c r="F110" s="37" t="s">
        <v>295</v>
      </c>
      <c r="G110" s="62"/>
      <c r="H110" s="43"/>
      <c r="I110" s="37" t="s">
        <v>229</v>
      </c>
      <c r="J110" s="42" t="s">
        <v>511</v>
      </c>
      <c r="K110" s="43" t="s">
        <v>95</v>
      </c>
      <c r="L110" s="44" t="s">
        <v>3</v>
      </c>
      <c r="M110" s="45" t="s">
        <v>0</v>
      </c>
      <c r="N110" s="45">
        <v>2.0</v>
      </c>
      <c r="O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4">
        <v>110.0</v>
      </c>
      <c r="B111" s="29" t="str">
        <f t="shared" si="1"/>
        <v>025-6x1</v>
      </c>
      <c r="C111" s="30">
        <v>120.0</v>
      </c>
      <c r="D111" s="36" t="s">
        <v>49</v>
      </c>
      <c r="E111" s="30">
        <v>820.0</v>
      </c>
      <c r="F111" s="37" t="s">
        <v>295</v>
      </c>
      <c r="G111" s="62"/>
      <c r="H111" s="43"/>
      <c r="I111" s="37" t="s">
        <v>396</v>
      </c>
      <c r="J111" s="42" t="s">
        <v>515</v>
      </c>
      <c r="K111" s="43" t="s">
        <v>95</v>
      </c>
      <c r="L111" s="44" t="s">
        <v>100</v>
      </c>
      <c r="M111" s="45" t="s">
        <v>0</v>
      </c>
      <c r="N111" s="45">
        <v>6.0</v>
      </c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4">
        <v>111.0</v>
      </c>
      <c r="B112" s="29" t="str">
        <f t="shared" si="1"/>
        <v>025-2x1</v>
      </c>
      <c r="C112" s="30">
        <v>10.0</v>
      </c>
      <c r="D112" s="36" t="s">
        <v>49</v>
      </c>
      <c r="E112" s="30">
        <v>495.0</v>
      </c>
      <c r="F112" s="37" t="s">
        <v>295</v>
      </c>
      <c r="G112" s="62"/>
      <c r="H112" s="43"/>
      <c r="I112" s="37" t="s">
        <v>229</v>
      </c>
      <c r="J112" s="42" t="s">
        <v>515</v>
      </c>
      <c r="K112" s="43" t="s">
        <v>95</v>
      </c>
      <c r="L112" s="44" t="s">
        <v>3</v>
      </c>
      <c r="M112" s="45" t="s">
        <v>0</v>
      </c>
      <c r="N112" s="45">
        <v>2.0</v>
      </c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4">
        <v>112.0</v>
      </c>
      <c r="B113" s="29" t="str">
        <f t="shared" si="1"/>
        <v>404-10x15</v>
      </c>
      <c r="C113" s="30">
        <v>90.0</v>
      </c>
      <c r="D113" s="36" t="s">
        <v>49</v>
      </c>
      <c r="E113" s="30">
        <v>155.0</v>
      </c>
      <c r="F113" s="37" t="s">
        <v>295</v>
      </c>
      <c r="G113" s="62" t="s">
        <v>516</v>
      </c>
      <c r="H113" s="41" t="s">
        <v>83</v>
      </c>
      <c r="I113" s="37" t="s">
        <v>285</v>
      </c>
      <c r="J113" s="42" t="s">
        <v>519</v>
      </c>
      <c r="K113" s="41" t="s">
        <v>95</v>
      </c>
      <c r="L113" s="44" t="s">
        <v>45</v>
      </c>
      <c r="M113" s="45" t="s">
        <v>0</v>
      </c>
      <c r="N113" s="45" t="s">
        <v>95</v>
      </c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4">
        <v>113.0</v>
      </c>
      <c r="B114" s="29" t="str">
        <f t="shared" si="1"/>
        <v>1373A-Big</v>
      </c>
      <c r="C114" s="30">
        <v>60.0</v>
      </c>
      <c r="D114" s="36" t="s">
        <v>49</v>
      </c>
      <c r="E114" s="30">
        <v>1150.0</v>
      </c>
      <c r="F114" s="37" t="s">
        <v>295</v>
      </c>
      <c r="G114" s="39" t="s">
        <v>521</v>
      </c>
      <c r="H114" s="41" t="s">
        <v>83</v>
      </c>
      <c r="I114" s="37" t="s">
        <v>524</v>
      </c>
      <c r="J114" s="42" t="s">
        <v>525</v>
      </c>
      <c r="K114" s="43" t="s">
        <v>95</v>
      </c>
      <c r="L114" s="44" t="s">
        <v>104</v>
      </c>
      <c r="M114" s="45" t="s">
        <v>0</v>
      </c>
      <c r="N114" s="45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4">
        <v>114.0</v>
      </c>
      <c r="B115" s="29" t="str">
        <f t="shared" si="1"/>
        <v>1225-4+2</v>
      </c>
      <c r="C115" s="30">
        <v>12.0</v>
      </c>
      <c r="D115" s="36" t="s">
        <v>49</v>
      </c>
      <c r="E115" s="30">
        <v>820.0</v>
      </c>
      <c r="F115" s="37" t="s">
        <v>295</v>
      </c>
      <c r="G115" s="62"/>
      <c r="H115" s="43"/>
      <c r="I115" s="37" t="s">
        <v>285</v>
      </c>
      <c r="J115" s="42" t="s">
        <v>526</v>
      </c>
      <c r="K115" s="43" t="s">
        <v>95</v>
      </c>
      <c r="L115" s="44" t="s">
        <v>90</v>
      </c>
      <c r="M115" s="45" t="s">
        <v>0</v>
      </c>
      <c r="N115" s="45">
        <v>4.0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4">
        <v>115.0</v>
      </c>
      <c r="B116" s="29" t="str">
        <f t="shared" si="1"/>
        <v>1205-4+2</v>
      </c>
      <c r="C116" s="30">
        <v>30.0</v>
      </c>
      <c r="D116" s="36" t="s">
        <v>49</v>
      </c>
      <c r="E116" s="30">
        <v>820.0</v>
      </c>
      <c r="F116" s="37" t="s">
        <v>295</v>
      </c>
      <c r="G116" s="62"/>
      <c r="H116" s="43"/>
      <c r="I116" s="37" t="s">
        <v>285</v>
      </c>
      <c r="J116" s="42" t="s">
        <v>527</v>
      </c>
      <c r="K116" s="43" t="s">
        <v>95</v>
      </c>
      <c r="L116" s="44" t="s">
        <v>90</v>
      </c>
      <c r="M116" s="45" t="s">
        <v>0</v>
      </c>
      <c r="N116" s="45">
        <v>4.0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4">
        <v>116.0</v>
      </c>
      <c r="B117" s="29" t="str">
        <f t="shared" si="1"/>
        <v>1215-4+2</v>
      </c>
      <c r="C117" s="30">
        <v>30.0</v>
      </c>
      <c r="D117" s="36" t="s">
        <v>49</v>
      </c>
      <c r="E117" s="30">
        <v>820.0</v>
      </c>
      <c r="F117" s="37" t="s">
        <v>295</v>
      </c>
      <c r="G117" s="62"/>
      <c r="H117" s="43"/>
      <c r="I117" s="37" t="s">
        <v>285</v>
      </c>
      <c r="J117" s="42" t="s">
        <v>530</v>
      </c>
      <c r="K117" s="43" t="s">
        <v>95</v>
      </c>
      <c r="L117" s="44" t="s">
        <v>90</v>
      </c>
      <c r="M117" s="45" t="s">
        <v>0</v>
      </c>
      <c r="N117" s="45">
        <v>4.0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4">
        <v>117.0</v>
      </c>
      <c r="B118" s="29" t="str">
        <f t="shared" si="1"/>
        <v>MN19-10x10</v>
      </c>
      <c r="C118" s="30">
        <v>100.0</v>
      </c>
      <c r="D118" s="36" t="s">
        <v>49</v>
      </c>
      <c r="E118" s="30">
        <v>145.0</v>
      </c>
      <c r="F118" s="37" t="s">
        <v>51</v>
      </c>
      <c r="G118" s="39" t="s">
        <v>532</v>
      </c>
      <c r="H118" s="41" t="s">
        <v>83</v>
      </c>
      <c r="I118" s="37" t="s">
        <v>229</v>
      </c>
      <c r="J118" s="42" t="s">
        <v>533</v>
      </c>
      <c r="K118" s="43" t="s">
        <v>95</v>
      </c>
      <c r="L118" s="44" t="s">
        <v>37</v>
      </c>
      <c r="M118" s="45" t="s">
        <v>10</v>
      </c>
      <c r="N118" s="45">
        <v>4.0</v>
      </c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4">
        <v>118.0</v>
      </c>
      <c r="B119" s="29" t="str">
        <f t="shared" si="1"/>
        <v>MN20-10x10</v>
      </c>
      <c r="C119" s="30">
        <v>100.0</v>
      </c>
      <c r="D119" s="36" t="s">
        <v>49</v>
      </c>
      <c r="E119" s="30">
        <v>145.0</v>
      </c>
      <c r="F119" s="37" t="s">
        <v>51</v>
      </c>
      <c r="G119" s="39" t="s">
        <v>534</v>
      </c>
      <c r="H119" s="41" t="s">
        <v>83</v>
      </c>
      <c r="I119" s="37" t="s">
        <v>229</v>
      </c>
      <c r="J119" s="42" t="s">
        <v>535</v>
      </c>
      <c r="K119" s="43" t="s">
        <v>95</v>
      </c>
      <c r="L119" s="44" t="s">
        <v>37</v>
      </c>
      <c r="M119" s="45" t="s">
        <v>10</v>
      </c>
      <c r="N119" s="45">
        <v>4.0</v>
      </c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4">
        <v>119.0</v>
      </c>
      <c r="B120" s="29" t="str">
        <f t="shared" si="1"/>
        <v>MN21-10x10</v>
      </c>
      <c r="C120" s="30">
        <v>100.0</v>
      </c>
      <c r="D120" s="36" t="s">
        <v>49</v>
      </c>
      <c r="E120" s="30">
        <v>145.0</v>
      </c>
      <c r="F120" s="37" t="s">
        <v>51</v>
      </c>
      <c r="G120" s="39" t="s">
        <v>537</v>
      </c>
      <c r="H120" s="41" t="s">
        <v>83</v>
      </c>
      <c r="I120" s="37" t="s">
        <v>229</v>
      </c>
      <c r="J120" s="42" t="s">
        <v>539</v>
      </c>
      <c r="K120" s="43" t="s">
        <v>95</v>
      </c>
      <c r="L120" s="44" t="s">
        <v>37</v>
      </c>
      <c r="M120" s="45" t="s">
        <v>10</v>
      </c>
      <c r="N120" s="45">
        <v>4.0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4">
        <v>120.0</v>
      </c>
      <c r="B121" s="29" t="str">
        <f t="shared" si="1"/>
        <v>MN22-10x10</v>
      </c>
      <c r="C121" s="30">
        <v>100.0</v>
      </c>
      <c r="D121" s="37">
        <v>52.0</v>
      </c>
      <c r="E121" s="30">
        <v>160.0</v>
      </c>
      <c r="F121" s="37" t="s">
        <v>51</v>
      </c>
      <c r="G121" s="39" t="s">
        <v>540</v>
      </c>
      <c r="H121" s="41" t="s">
        <v>83</v>
      </c>
      <c r="I121" s="37" t="s">
        <v>229</v>
      </c>
      <c r="J121" s="42" t="s">
        <v>544</v>
      </c>
      <c r="K121" s="43" t="s">
        <v>95</v>
      </c>
      <c r="L121" s="44" t="s">
        <v>37</v>
      </c>
      <c r="M121" s="45" t="s">
        <v>10</v>
      </c>
      <c r="N121" s="45">
        <v>4.0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4">
        <v>121.0</v>
      </c>
      <c r="B122" s="29" t="str">
        <f t="shared" si="1"/>
        <v>MN23-10x10</v>
      </c>
      <c r="C122" s="30">
        <v>100.0</v>
      </c>
      <c r="D122" s="36" t="s">
        <v>49</v>
      </c>
      <c r="E122" s="30">
        <v>160.0</v>
      </c>
      <c r="F122" s="37" t="s">
        <v>51</v>
      </c>
      <c r="G122" s="39" t="s">
        <v>545</v>
      </c>
      <c r="H122" s="41" t="s">
        <v>83</v>
      </c>
      <c r="I122" s="37" t="s">
        <v>229</v>
      </c>
      <c r="J122" s="42" t="s">
        <v>548</v>
      </c>
      <c r="K122" s="43" t="s">
        <v>95</v>
      </c>
      <c r="L122" s="44" t="s">
        <v>37</v>
      </c>
      <c r="M122" s="45" t="s">
        <v>10</v>
      </c>
      <c r="N122" s="45">
        <v>4.0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4">
        <v>122.0</v>
      </c>
      <c r="B123" s="29" t="str">
        <f t="shared" si="1"/>
        <v>MN24-10x10</v>
      </c>
      <c r="C123" s="30">
        <v>100.0</v>
      </c>
      <c r="D123" s="36" t="s">
        <v>49</v>
      </c>
      <c r="E123" s="30">
        <v>160.0</v>
      </c>
      <c r="F123" s="37" t="s">
        <v>51</v>
      </c>
      <c r="G123" s="39" t="s">
        <v>549</v>
      </c>
      <c r="H123" s="41" t="s">
        <v>83</v>
      </c>
      <c r="I123" s="37" t="s">
        <v>229</v>
      </c>
      <c r="J123" s="42" t="s">
        <v>553</v>
      </c>
      <c r="K123" s="43" t="s">
        <v>95</v>
      </c>
      <c r="L123" s="44" t="s">
        <v>37</v>
      </c>
      <c r="M123" s="45" t="s">
        <v>10</v>
      </c>
      <c r="N123" s="45">
        <v>4.0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4">
        <v>123.0</v>
      </c>
      <c r="B124" s="29" t="str">
        <f t="shared" si="1"/>
        <v>MN25-12x18</v>
      </c>
      <c r="C124" s="30">
        <v>50.0</v>
      </c>
      <c r="D124" s="36" t="s">
        <v>49</v>
      </c>
      <c r="E124" s="30">
        <v>235.0</v>
      </c>
      <c r="F124" s="37" t="s">
        <v>51</v>
      </c>
      <c r="G124" s="39" t="s">
        <v>554</v>
      </c>
      <c r="H124" s="41" t="s">
        <v>83</v>
      </c>
      <c r="I124" s="37" t="s">
        <v>316</v>
      </c>
      <c r="J124" s="42" t="s">
        <v>555</v>
      </c>
      <c r="K124" s="43" t="s">
        <v>95</v>
      </c>
      <c r="L124" s="44" t="s">
        <v>53</v>
      </c>
      <c r="M124" s="45" t="s">
        <v>10</v>
      </c>
      <c r="N124" s="45">
        <v>6.0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4">
        <v>124.0</v>
      </c>
      <c r="B125" s="29" t="str">
        <f t="shared" si="1"/>
        <v>MN26-12x18</v>
      </c>
      <c r="C125" s="30">
        <v>50.0</v>
      </c>
      <c r="D125" s="36" t="s">
        <v>49</v>
      </c>
      <c r="E125" s="30">
        <v>235.0</v>
      </c>
      <c r="F125" s="37" t="s">
        <v>51</v>
      </c>
      <c r="G125" s="39" t="s">
        <v>556</v>
      </c>
      <c r="H125" s="41" t="s">
        <v>83</v>
      </c>
      <c r="I125" s="37" t="s">
        <v>316</v>
      </c>
      <c r="J125" s="42" t="s">
        <v>557</v>
      </c>
      <c r="K125" s="43" t="s">
        <v>95</v>
      </c>
      <c r="L125" s="44" t="s">
        <v>53</v>
      </c>
      <c r="M125" s="45" t="s">
        <v>10</v>
      </c>
      <c r="N125" s="45">
        <v>6.0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4">
        <v>125.0</v>
      </c>
      <c r="B126" s="29" t="str">
        <f t="shared" si="1"/>
        <v>MN27-12x18</v>
      </c>
      <c r="C126" s="30">
        <v>50.0</v>
      </c>
      <c r="D126" s="36" t="s">
        <v>49</v>
      </c>
      <c r="E126" s="30">
        <v>260.0</v>
      </c>
      <c r="F126" s="37" t="s">
        <v>51</v>
      </c>
      <c r="G126" s="39" t="s">
        <v>558</v>
      </c>
      <c r="H126" s="41" t="s">
        <v>83</v>
      </c>
      <c r="I126" s="37" t="s">
        <v>316</v>
      </c>
      <c r="J126" s="42" t="s">
        <v>564</v>
      </c>
      <c r="K126" s="43" t="s">
        <v>95</v>
      </c>
      <c r="L126" s="44" t="s">
        <v>53</v>
      </c>
      <c r="M126" s="45" t="s">
        <v>10</v>
      </c>
      <c r="N126" s="45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4">
        <v>126.0</v>
      </c>
      <c r="B127" s="29" t="str">
        <f t="shared" si="1"/>
        <v>MN28-12x18</v>
      </c>
      <c r="C127" s="30">
        <v>50.0</v>
      </c>
      <c r="D127" s="36" t="s">
        <v>49</v>
      </c>
      <c r="E127" s="30">
        <v>260.0</v>
      </c>
      <c r="F127" s="37" t="s">
        <v>51</v>
      </c>
      <c r="G127" s="39" t="s">
        <v>565</v>
      </c>
      <c r="H127" s="41" t="s">
        <v>83</v>
      </c>
      <c r="I127" s="37" t="s">
        <v>316</v>
      </c>
      <c r="J127" s="42" t="s">
        <v>566</v>
      </c>
      <c r="K127" s="43" t="s">
        <v>95</v>
      </c>
      <c r="L127" s="44" t="s">
        <v>53</v>
      </c>
      <c r="M127" s="45" t="s">
        <v>10</v>
      </c>
      <c r="N127" s="45"/>
      <c r="O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4">
        <v>127.0</v>
      </c>
      <c r="B128" s="29" t="str">
        <f t="shared" si="1"/>
        <v>MN29-11x11</v>
      </c>
      <c r="C128" s="30">
        <v>5.0</v>
      </c>
      <c r="D128" s="36" t="s">
        <v>49</v>
      </c>
      <c r="E128" s="30">
        <v>715.0</v>
      </c>
      <c r="F128" s="37" t="s">
        <v>295</v>
      </c>
      <c r="G128" s="39" t="s">
        <v>567</v>
      </c>
      <c r="H128" s="41" t="s">
        <v>83</v>
      </c>
      <c r="I128" s="37" t="s">
        <v>285</v>
      </c>
      <c r="J128" s="42" t="s">
        <v>568</v>
      </c>
      <c r="K128" s="43" t="s">
        <v>95</v>
      </c>
      <c r="L128" s="44" t="s">
        <v>41</v>
      </c>
      <c r="M128" s="45" t="s">
        <v>10</v>
      </c>
      <c r="N128" s="45"/>
      <c r="O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4">
        <v>128.0</v>
      </c>
      <c r="B129" s="29" t="str">
        <f t="shared" si="1"/>
        <v>MN30-SUIT</v>
      </c>
      <c r="C129" s="30">
        <v>45.0</v>
      </c>
      <c r="D129" s="36" t="s">
        <v>49</v>
      </c>
      <c r="E129" s="30">
        <v>1300.0</v>
      </c>
      <c r="F129" s="37" t="s">
        <v>295</v>
      </c>
      <c r="G129" s="39" t="s">
        <v>569</v>
      </c>
      <c r="H129" s="41" t="s">
        <v>83</v>
      </c>
      <c r="I129" s="37" t="s">
        <v>95</v>
      </c>
      <c r="J129" s="42" t="s">
        <v>571</v>
      </c>
      <c r="K129" s="43" t="s">
        <v>95</v>
      </c>
      <c r="L129" s="44" t="s">
        <v>572</v>
      </c>
      <c r="M129" s="45" t="s">
        <v>10</v>
      </c>
      <c r="N129" s="45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4">
        <v>129.0</v>
      </c>
      <c r="B130" s="29" t="str">
        <f t="shared" si="1"/>
        <v>MN50-4x1</v>
      </c>
      <c r="C130" s="30">
        <v>6.0</v>
      </c>
      <c r="D130" s="36" t="s">
        <v>49</v>
      </c>
      <c r="E130" s="30">
        <v>910.0</v>
      </c>
      <c r="F130" s="37" t="s">
        <v>295</v>
      </c>
      <c r="G130" s="39" t="s">
        <v>574</v>
      </c>
      <c r="H130" s="41" t="s">
        <v>83</v>
      </c>
      <c r="I130" s="37" t="s">
        <v>285</v>
      </c>
      <c r="J130" s="42" t="s">
        <v>575</v>
      </c>
      <c r="K130" s="43" t="s">
        <v>95</v>
      </c>
      <c r="L130" s="44" t="s">
        <v>93</v>
      </c>
      <c r="M130" s="45" t="s">
        <v>10</v>
      </c>
      <c r="N130" s="45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4">
        <v>130.0</v>
      </c>
      <c r="B131" s="29" t="str">
        <f t="shared" si="1"/>
        <v>MN51-4x1</v>
      </c>
      <c r="C131" s="30">
        <v>5.0</v>
      </c>
      <c r="D131" s="36" t="s">
        <v>49</v>
      </c>
      <c r="E131" s="30">
        <v>910.0</v>
      </c>
      <c r="F131" s="37" t="s">
        <v>295</v>
      </c>
      <c r="G131" s="39" t="s">
        <v>577</v>
      </c>
      <c r="H131" s="41" t="s">
        <v>83</v>
      </c>
      <c r="I131" s="37" t="s">
        <v>299</v>
      </c>
      <c r="J131" s="42" t="s">
        <v>578</v>
      </c>
      <c r="K131" s="43" t="s">
        <v>95</v>
      </c>
      <c r="L131" s="44" t="s">
        <v>93</v>
      </c>
      <c r="M131" s="45" t="s">
        <v>10</v>
      </c>
      <c r="N131" s="45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4">
        <v>131.0</v>
      </c>
      <c r="B132" s="29" t="str">
        <f t="shared" si="1"/>
        <v>MN52-4x1</v>
      </c>
      <c r="C132" s="30">
        <v>25.0</v>
      </c>
      <c r="D132" s="36" t="s">
        <v>49</v>
      </c>
      <c r="E132" s="30">
        <v>780.0</v>
      </c>
      <c r="F132" s="37" t="s">
        <v>295</v>
      </c>
      <c r="G132" s="39" t="s">
        <v>579</v>
      </c>
      <c r="H132" s="41" t="s">
        <v>83</v>
      </c>
      <c r="I132" s="37" t="s">
        <v>285</v>
      </c>
      <c r="J132" s="42" t="s">
        <v>581</v>
      </c>
      <c r="K132" s="43" t="s">
        <v>95</v>
      </c>
      <c r="L132" s="44" t="s">
        <v>93</v>
      </c>
      <c r="M132" s="45" t="s">
        <v>10</v>
      </c>
      <c r="N132" s="45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4">
        <v>132.0</v>
      </c>
      <c r="B133" s="29" t="str">
        <f t="shared" si="1"/>
        <v>MN52-6x1</v>
      </c>
      <c r="C133" s="30">
        <v>39.0</v>
      </c>
      <c r="D133" s="36" t="s">
        <v>49</v>
      </c>
      <c r="E133" s="30">
        <v>1170.0</v>
      </c>
      <c r="F133" s="37" t="s">
        <v>295</v>
      </c>
      <c r="G133" s="39" t="s">
        <v>582</v>
      </c>
      <c r="H133" s="41" t="s">
        <v>83</v>
      </c>
      <c r="I133" s="37" t="s">
        <v>316</v>
      </c>
      <c r="J133" s="42" t="s">
        <v>581</v>
      </c>
      <c r="K133" s="43" t="s">
        <v>95</v>
      </c>
      <c r="L133" s="44" t="s">
        <v>100</v>
      </c>
      <c r="M133" s="45" t="s">
        <v>10</v>
      </c>
      <c r="N133" s="45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4">
        <v>133.0</v>
      </c>
      <c r="B134" s="29" t="str">
        <f t="shared" si="1"/>
        <v>MN55-4+2</v>
      </c>
      <c r="C134" s="30">
        <v>25.0</v>
      </c>
      <c r="D134" s="36" t="s">
        <v>49</v>
      </c>
      <c r="E134" s="30">
        <v>1170.0</v>
      </c>
      <c r="F134" s="37" t="s">
        <v>295</v>
      </c>
      <c r="G134" s="39" t="s">
        <v>257</v>
      </c>
      <c r="H134" s="41" t="s">
        <v>83</v>
      </c>
      <c r="I134" s="37" t="s">
        <v>585</v>
      </c>
      <c r="J134" s="42" t="s">
        <v>586</v>
      </c>
      <c r="K134" s="43" t="s">
        <v>95</v>
      </c>
      <c r="L134" s="44" t="s">
        <v>90</v>
      </c>
      <c r="M134" s="45" t="s">
        <v>10</v>
      </c>
      <c r="N134" s="45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4">
        <v>134.0</v>
      </c>
      <c r="B135" s="29" t="str">
        <f t="shared" si="1"/>
        <v>MN55-6x1</v>
      </c>
      <c r="C135" s="30">
        <v>25.0</v>
      </c>
      <c r="D135" s="36" t="s">
        <v>49</v>
      </c>
      <c r="E135" s="30">
        <v>975.0</v>
      </c>
      <c r="F135" s="37" t="s">
        <v>295</v>
      </c>
      <c r="G135" s="39" t="s">
        <v>587</v>
      </c>
      <c r="H135" s="41" t="s">
        <v>83</v>
      </c>
      <c r="I135" s="37" t="s">
        <v>316</v>
      </c>
      <c r="J135" s="42" t="s">
        <v>586</v>
      </c>
      <c r="K135" s="43" t="s">
        <v>95</v>
      </c>
      <c r="L135" s="44" t="s">
        <v>100</v>
      </c>
      <c r="M135" s="45" t="s">
        <v>10</v>
      </c>
      <c r="N135" s="45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4">
        <v>135.0</v>
      </c>
      <c r="B136" s="29" t="str">
        <f t="shared" si="1"/>
        <v>MN55-4x1</v>
      </c>
      <c r="C136" s="30">
        <v>25.0</v>
      </c>
      <c r="D136" s="36" t="s">
        <v>49</v>
      </c>
      <c r="E136" s="30">
        <v>780.0</v>
      </c>
      <c r="F136" s="37" t="s">
        <v>295</v>
      </c>
      <c r="G136" s="39" t="s">
        <v>259</v>
      </c>
      <c r="H136" s="41" t="s">
        <v>83</v>
      </c>
      <c r="I136" s="37" t="s">
        <v>285</v>
      </c>
      <c r="J136" s="42" t="s">
        <v>586</v>
      </c>
      <c r="K136" s="43" t="s">
        <v>95</v>
      </c>
      <c r="L136" s="44" t="s">
        <v>93</v>
      </c>
      <c r="M136" s="45" t="s">
        <v>10</v>
      </c>
      <c r="N136" s="45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4">
        <v>136.0</v>
      </c>
      <c r="B137" s="29" t="str">
        <f t="shared" si="1"/>
        <v>MN56-4x1</v>
      </c>
      <c r="C137" s="30">
        <v>5.0</v>
      </c>
      <c r="D137" s="36" t="s">
        <v>49</v>
      </c>
      <c r="E137" s="30">
        <v>650.0</v>
      </c>
      <c r="F137" s="37" t="s">
        <v>295</v>
      </c>
      <c r="G137" s="39" t="s">
        <v>590</v>
      </c>
      <c r="H137" s="41" t="s">
        <v>83</v>
      </c>
      <c r="I137" s="37" t="s">
        <v>299</v>
      </c>
      <c r="J137" s="42" t="s">
        <v>593</v>
      </c>
      <c r="K137" s="43" t="s">
        <v>95</v>
      </c>
      <c r="L137" s="44" t="s">
        <v>93</v>
      </c>
      <c r="M137" s="45" t="s">
        <v>10</v>
      </c>
      <c r="N137" s="45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4">
        <v>137.0</v>
      </c>
      <c r="B138" s="29" t="str">
        <f t="shared" si="1"/>
        <v>MN56-6x1</v>
      </c>
      <c r="C138" s="30">
        <v>5.0</v>
      </c>
      <c r="D138" s="36" t="s">
        <v>49</v>
      </c>
      <c r="E138" s="30">
        <v>780.0</v>
      </c>
      <c r="F138" s="37" t="s">
        <v>295</v>
      </c>
      <c r="G138" s="39" t="s">
        <v>594</v>
      </c>
      <c r="H138" s="41" t="s">
        <v>83</v>
      </c>
      <c r="I138" s="37" t="s">
        <v>396</v>
      </c>
      <c r="J138" s="42" t="s">
        <v>593</v>
      </c>
      <c r="K138" s="43" t="s">
        <v>95</v>
      </c>
      <c r="L138" s="44" t="s">
        <v>100</v>
      </c>
      <c r="M138" s="45" t="s">
        <v>10</v>
      </c>
      <c r="N138" s="45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4">
        <v>138.0</v>
      </c>
      <c r="B139" s="29" t="str">
        <f t="shared" si="1"/>
        <v>MN59-6x1</v>
      </c>
      <c r="C139" s="30">
        <v>5.0</v>
      </c>
      <c r="D139" s="36" t="s">
        <v>49</v>
      </c>
      <c r="E139" s="30">
        <v>715.0</v>
      </c>
      <c r="F139" s="37" t="s">
        <v>295</v>
      </c>
      <c r="G139" s="39" t="s">
        <v>597</v>
      </c>
      <c r="H139" s="41" t="s">
        <v>83</v>
      </c>
      <c r="I139" s="37" t="s">
        <v>396</v>
      </c>
      <c r="J139" s="42" t="s">
        <v>598</v>
      </c>
      <c r="K139" s="43" t="s">
        <v>95</v>
      </c>
      <c r="L139" s="44" t="s">
        <v>100</v>
      </c>
      <c r="M139" s="45" t="s">
        <v>10</v>
      </c>
      <c r="N139" s="45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4">
        <v>139.0</v>
      </c>
      <c r="B140" s="29" t="str">
        <f t="shared" si="1"/>
        <v>MN60-4x1</v>
      </c>
      <c r="C140" s="30">
        <v>5.0</v>
      </c>
      <c r="D140" s="36" t="s">
        <v>49</v>
      </c>
      <c r="E140" s="30">
        <v>780.0</v>
      </c>
      <c r="F140" s="37" t="s">
        <v>295</v>
      </c>
      <c r="G140" s="39" t="s">
        <v>600</v>
      </c>
      <c r="H140" s="41" t="s">
        <v>83</v>
      </c>
      <c r="I140" s="37" t="s">
        <v>285</v>
      </c>
      <c r="J140" s="42" t="s">
        <v>604</v>
      </c>
      <c r="K140" s="43" t="s">
        <v>95</v>
      </c>
      <c r="L140" s="44" t="s">
        <v>93</v>
      </c>
      <c r="M140" s="45" t="s">
        <v>10</v>
      </c>
      <c r="N140" s="45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4">
        <v>140.0</v>
      </c>
      <c r="B141" s="29" t="str">
        <f t="shared" si="1"/>
        <v>MN61-4x1</v>
      </c>
      <c r="C141" s="30">
        <v>5.0</v>
      </c>
      <c r="D141" s="36" t="s">
        <v>49</v>
      </c>
      <c r="E141" s="30">
        <v>780.0</v>
      </c>
      <c r="F141" s="37" t="s">
        <v>295</v>
      </c>
      <c r="G141" s="39" t="s">
        <v>605</v>
      </c>
      <c r="H141" s="41" t="s">
        <v>83</v>
      </c>
      <c r="I141" s="37" t="s">
        <v>285</v>
      </c>
      <c r="J141" s="42" t="s">
        <v>608</v>
      </c>
      <c r="K141" s="43" t="s">
        <v>95</v>
      </c>
      <c r="L141" s="44" t="s">
        <v>93</v>
      </c>
      <c r="M141" s="45" t="s">
        <v>10</v>
      </c>
      <c r="N141" s="45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4">
        <v>141.0</v>
      </c>
      <c r="B142" s="29" t="str">
        <f t="shared" si="1"/>
        <v>MN62-4+2</v>
      </c>
      <c r="C142" s="30">
        <v>5.0</v>
      </c>
      <c r="D142" s="36" t="s">
        <v>49</v>
      </c>
      <c r="E142" s="30">
        <v>1300.0</v>
      </c>
      <c r="F142" s="37" t="s">
        <v>295</v>
      </c>
      <c r="G142" s="39" t="s">
        <v>609</v>
      </c>
      <c r="H142" s="41" t="s">
        <v>83</v>
      </c>
      <c r="I142" s="37" t="s">
        <v>612</v>
      </c>
      <c r="J142" s="42" t="s">
        <v>613</v>
      </c>
      <c r="K142" s="43" t="s">
        <v>95</v>
      </c>
      <c r="L142" s="44" t="s">
        <v>90</v>
      </c>
      <c r="M142" s="45" t="s">
        <v>10</v>
      </c>
      <c r="N142" s="45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4">
        <v>142.0</v>
      </c>
      <c r="B143" s="29" t="str">
        <f t="shared" si="1"/>
        <v>MN62-4+4</v>
      </c>
      <c r="C143" s="30">
        <v>5.0</v>
      </c>
      <c r="D143" s="36" t="s">
        <v>49</v>
      </c>
      <c r="E143" s="30">
        <v>1575.0</v>
      </c>
      <c r="F143" s="37" t="s">
        <v>295</v>
      </c>
      <c r="G143" s="39" t="s">
        <v>614</v>
      </c>
      <c r="H143" s="41" t="s">
        <v>83</v>
      </c>
      <c r="I143" s="37" t="s">
        <v>617</v>
      </c>
      <c r="J143" s="42" t="s">
        <v>613</v>
      </c>
      <c r="K143" s="43" t="s">
        <v>95</v>
      </c>
      <c r="L143" s="44" t="s">
        <v>618</v>
      </c>
      <c r="M143" s="45" t="s">
        <v>10</v>
      </c>
      <c r="N143" s="45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4">
        <v>143.0</v>
      </c>
      <c r="B144" s="29" t="str">
        <f t="shared" si="1"/>
        <v>MN62-4+1</v>
      </c>
      <c r="C144" s="30">
        <v>5.0</v>
      </c>
      <c r="D144" s="36" t="s">
        <v>49</v>
      </c>
      <c r="E144" s="30">
        <v>1040.0</v>
      </c>
      <c r="F144" s="37" t="s">
        <v>295</v>
      </c>
      <c r="G144" s="39" t="s">
        <v>619</v>
      </c>
      <c r="H144" s="41" t="s">
        <v>83</v>
      </c>
      <c r="I144" s="37" t="s">
        <v>612</v>
      </c>
      <c r="J144" s="42" t="s">
        <v>613</v>
      </c>
      <c r="K144" s="43" t="s">
        <v>95</v>
      </c>
      <c r="L144" s="44" t="s">
        <v>622</v>
      </c>
      <c r="M144" s="45" t="s">
        <v>10</v>
      </c>
      <c r="N144" s="45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4">
        <v>144.0</v>
      </c>
      <c r="B145" s="29" t="str">
        <f t="shared" si="1"/>
        <v>MN62-2+2</v>
      </c>
      <c r="C145" s="30">
        <v>5.0</v>
      </c>
      <c r="D145" s="36" t="s">
        <v>49</v>
      </c>
      <c r="E145" s="30">
        <v>650.0</v>
      </c>
      <c r="F145" s="37" t="s">
        <v>295</v>
      </c>
      <c r="G145" s="39" t="s">
        <v>623</v>
      </c>
      <c r="H145" s="41" t="s">
        <v>83</v>
      </c>
      <c r="I145" s="37" t="s">
        <v>299</v>
      </c>
      <c r="J145" s="42" t="s">
        <v>613</v>
      </c>
      <c r="K145" s="43" t="s">
        <v>95</v>
      </c>
      <c r="L145" s="44" t="s">
        <v>626</v>
      </c>
      <c r="M145" s="45" t="s">
        <v>10</v>
      </c>
      <c r="N145" s="45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4">
        <v>145.0</v>
      </c>
      <c r="B146" s="29" t="str">
        <f t="shared" si="1"/>
        <v>MN64-2x1</v>
      </c>
      <c r="C146" s="30">
        <v>10.0</v>
      </c>
      <c r="D146" s="36" t="s">
        <v>49</v>
      </c>
      <c r="E146" s="30">
        <v>520.0</v>
      </c>
      <c r="F146" s="37" t="s">
        <v>295</v>
      </c>
      <c r="G146" s="39" t="s">
        <v>629</v>
      </c>
      <c r="H146" s="41" t="s">
        <v>83</v>
      </c>
      <c r="I146" s="37" t="s">
        <v>229</v>
      </c>
      <c r="J146" s="42" t="s">
        <v>632</v>
      </c>
      <c r="K146" s="43" t="s">
        <v>95</v>
      </c>
      <c r="L146" s="44" t="s">
        <v>3</v>
      </c>
      <c r="M146" s="45" t="s">
        <v>10</v>
      </c>
      <c r="N146" s="45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4">
        <v>146.0</v>
      </c>
      <c r="B147" s="29" t="str">
        <f t="shared" si="1"/>
        <v>MN64-3x1</v>
      </c>
      <c r="C147" s="30">
        <v>10.0</v>
      </c>
      <c r="D147" s="36" t="s">
        <v>49</v>
      </c>
      <c r="E147" s="30">
        <v>650.0</v>
      </c>
      <c r="F147" s="37" t="s">
        <v>295</v>
      </c>
      <c r="G147" s="39" t="s">
        <v>633</v>
      </c>
      <c r="H147" s="41" t="s">
        <v>83</v>
      </c>
      <c r="I147" s="37" t="s">
        <v>285</v>
      </c>
      <c r="J147" s="42" t="s">
        <v>632</v>
      </c>
      <c r="K147" s="43" t="s">
        <v>95</v>
      </c>
      <c r="L147" s="44" t="s">
        <v>81</v>
      </c>
      <c r="M147" s="45" t="s">
        <v>10</v>
      </c>
      <c r="N147" s="45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4">
        <v>147.0</v>
      </c>
      <c r="B148" s="29" t="str">
        <f t="shared" si="1"/>
        <v>MN64-4x1</v>
      </c>
      <c r="C148" s="30">
        <v>10.0</v>
      </c>
      <c r="D148" s="36" t="s">
        <v>49</v>
      </c>
      <c r="E148" s="30">
        <v>685.0</v>
      </c>
      <c r="F148" s="37" t="s">
        <v>295</v>
      </c>
      <c r="G148" s="39" t="s">
        <v>638</v>
      </c>
      <c r="H148" s="41" t="s">
        <v>83</v>
      </c>
      <c r="I148" s="37" t="s">
        <v>299</v>
      </c>
      <c r="J148" s="42" t="s">
        <v>632</v>
      </c>
      <c r="K148" s="43" t="s">
        <v>95</v>
      </c>
      <c r="L148" s="44" t="s">
        <v>93</v>
      </c>
      <c r="M148" s="45" t="s">
        <v>10</v>
      </c>
      <c r="N148" s="45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4">
        <v>148.0</v>
      </c>
      <c r="B149" s="29" t="str">
        <f t="shared" si="1"/>
        <v>MN64-6x1</v>
      </c>
      <c r="C149" s="30">
        <v>10.0</v>
      </c>
      <c r="D149" s="36" t="s">
        <v>49</v>
      </c>
      <c r="E149" s="30">
        <v>780.0</v>
      </c>
      <c r="F149" s="37" t="s">
        <v>295</v>
      </c>
      <c r="G149" s="39" t="s">
        <v>641</v>
      </c>
      <c r="H149" s="41" t="s">
        <v>83</v>
      </c>
      <c r="I149" s="37" t="s">
        <v>396</v>
      </c>
      <c r="J149" s="42" t="s">
        <v>632</v>
      </c>
      <c r="K149" s="43" t="s">
        <v>95</v>
      </c>
      <c r="L149" s="44" t="s">
        <v>100</v>
      </c>
      <c r="M149" s="45" t="s">
        <v>10</v>
      </c>
      <c r="N149" s="45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4">
        <v>149.0</v>
      </c>
      <c r="B150" s="29" t="str">
        <f t="shared" si="1"/>
        <v>MN64-4+1</v>
      </c>
      <c r="C150" s="30">
        <v>10.0</v>
      </c>
      <c r="D150" s="36" t="s">
        <v>49</v>
      </c>
      <c r="E150" s="30">
        <v>1040.0</v>
      </c>
      <c r="F150" s="37" t="s">
        <v>295</v>
      </c>
      <c r="G150" s="39" t="s">
        <v>644</v>
      </c>
      <c r="H150" s="41" t="s">
        <v>83</v>
      </c>
      <c r="I150" s="37" t="s">
        <v>647</v>
      </c>
      <c r="J150" s="42" t="s">
        <v>632</v>
      </c>
      <c r="K150" s="43" t="s">
        <v>95</v>
      </c>
      <c r="L150" s="44" t="s">
        <v>622</v>
      </c>
      <c r="M150" s="45" t="s">
        <v>10</v>
      </c>
      <c r="N150" s="45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4">
        <v>150.0</v>
      </c>
      <c r="B151" s="29" t="str">
        <f t="shared" si="1"/>
        <v>MN65-4x1</v>
      </c>
      <c r="C151" s="30">
        <v>30.0</v>
      </c>
      <c r="D151" s="36" t="s">
        <v>49</v>
      </c>
      <c r="E151" s="30">
        <v>690.0</v>
      </c>
      <c r="F151" s="37" t="s">
        <v>295</v>
      </c>
      <c r="G151" s="39" t="s">
        <v>648</v>
      </c>
      <c r="H151" s="41" t="s">
        <v>83</v>
      </c>
      <c r="I151" s="37" t="s">
        <v>285</v>
      </c>
      <c r="J151" s="42" t="s">
        <v>649</v>
      </c>
      <c r="K151" s="43" t="s">
        <v>95</v>
      </c>
      <c r="L151" s="44" t="s">
        <v>93</v>
      </c>
      <c r="M151" s="45" t="s">
        <v>10</v>
      </c>
      <c r="N151" s="45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4">
        <v>151.0</v>
      </c>
      <c r="B152" s="29" t="str">
        <f t="shared" si="1"/>
        <v>MN65-6x1</v>
      </c>
      <c r="C152" s="30">
        <v>30.0</v>
      </c>
      <c r="D152" s="36" t="s">
        <v>49</v>
      </c>
      <c r="E152" s="30">
        <v>750.0</v>
      </c>
      <c r="F152" s="37" t="s">
        <v>295</v>
      </c>
      <c r="G152" s="39" t="s">
        <v>650</v>
      </c>
      <c r="H152" s="41" t="s">
        <v>83</v>
      </c>
      <c r="I152" s="37" t="s">
        <v>316</v>
      </c>
      <c r="J152" s="42" t="s">
        <v>649</v>
      </c>
      <c r="K152" s="43" t="s">
        <v>95</v>
      </c>
      <c r="L152" s="44" t="s">
        <v>100</v>
      </c>
      <c r="M152" s="45" t="s">
        <v>10</v>
      </c>
      <c r="N152" s="45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4">
        <v>152.0</v>
      </c>
      <c r="B153" s="29" t="str">
        <f t="shared" si="1"/>
        <v>MN66-4x1</v>
      </c>
      <c r="C153" s="30">
        <v>30.0</v>
      </c>
      <c r="D153" s="36" t="s">
        <v>49</v>
      </c>
      <c r="E153" s="30">
        <v>650.0</v>
      </c>
      <c r="F153" s="37" t="s">
        <v>295</v>
      </c>
      <c r="G153" s="39" t="s">
        <v>653</v>
      </c>
      <c r="H153" s="41" t="s">
        <v>83</v>
      </c>
      <c r="I153" s="37" t="s">
        <v>285</v>
      </c>
      <c r="J153" s="42" t="s">
        <v>657</v>
      </c>
      <c r="K153" s="43" t="s">
        <v>95</v>
      </c>
      <c r="L153" s="44" t="s">
        <v>93</v>
      </c>
      <c r="M153" s="45" t="s">
        <v>10</v>
      </c>
      <c r="N153" s="45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4">
        <v>153.0</v>
      </c>
      <c r="B154" s="29" t="str">
        <f t="shared" si="1"/>
        <v>MN66-6x1</v>
      </c>
      <c r="C154" s="30">
        <v>30.0</v>
      </c>
      <c r="D154" s="36" t="s">
        <v>49</v>
      </c>
      <c r="E154" s="30">
        <v>720.0</v>
      </c>
      <c r="F154" s="37" t="s">
        <v>295</v>
      </c>
      <c r="G154" s="39" t="s">
        <v>659</v>
      </c>
      <c r="H154" s="41" t="s">
        <v>83</v>
      </c>
      <c r="I154" s="37" t="s">
        <v>316</v>
      </c>
      <c r="J154" s="42" t="s">
        <v>657</v>
      </c>
      <c r="K154" s="43" t="s">
        <v>95</v>
      </c>
      <c r="L154" s="44" t="s">
        <v>100</v>
      </c>
      <c r="M154" s="45" t="s">
        <v>10</v>
      </c>
      <c r="N154" s="45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4">
        <v>154.0</v>
      </c>
      <c r="B155" s="29" t="str">
        <f t="shared" si="1"/>
        <v>MN67-4x1</v>
      </c>
      <c r="C155" s="30">
        <v>5.0</v>
      </c>
      <c r="D155" s="36" t="s">
        <v>49</v>
      </c>
      <c r="E155" s="30">
        <v>780.0</v>
      </c>
      <c r="F155" s="37" t="s">
        <v>295</v>
      </c>
      <c r="G155" s="39" t="s">
        <v>664</v>
      </c>
      <c r="H155" s="41" t="s">
        <v>83</v>
      </c>
      <c r="I155" s="37" t="s">
        <v>612</v>
      </c>
      <c r="J155" s="42" t="s">
        <v>667</v>
      </c>
      <c r="K155" s="43" t="s">
        <v>95</v>
      </c>
      <c r="L155" s="44" t="s">
        <v>93</v>
      </c>
      <c r="M155" s="45" t="s">
        <v>10</v>
      </c>
      <c r="N155" s="45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4">
        <v>155.0</v>
      </c>
      <c r="B156" s="29" t="str">
        <f t="shared" si="1"/>
        <v>-</v>
      </c>
      <c r="C156" s="61"/>
      <c r="D156" s="36" t="s">
        <v>49</v>
      </c>
      <c r="E156" s="30"/>
      <c r="F156" s="37" t="s">
        <v>51</v>
      </c>
      <c r="G156" s="62"/>
      <c r="H156" s="43"/>
      <c r="I156" s="37"/>
      <c r="J156" s="42"/>
      <c r="K156" s="43" t="s">
        <v>95</v>
      </c>
      <c r="L156" s="44"/>
      <c r="M156" s="45" t="s">
        <v>0</v>
      </c>
      <c r="N156" s="45"/>
      <c r="O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4">
        <v>156.0</v>
      </c>
      <c r="B157" s="29" t="str">
        <f t="shared" si="1"/>
        <v>-</v>
      </c>
      <c r="C157" s="61"/>
      <c r="D157" s="36" t="s">
        <v>49</v>
      </c>
      <c r="E157" s="30"/>
      <c r="F157" s="37" t="s">
        <v>51</v>
      </c>
      <c r="G157" s="62"/>
      <c r="H157" s="43"/>
      <c r="I157" s="37"/>
      <c r="J157" s="42"/>
      <c r="K157" s="43" t="s">
        <v>95</v>
      </c>
      <c r="L157" s="44"/>
      <c r="M157" s="45" t="s">
        <v>0</v>
      </c>
      <c r="N157" s="45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4">
        <v>157.0</v>
      </c>
      <c r="B158" s="29" t="str">
        <f t="shared" si="1"/>
        <v>-</v>
      </c>
      <c r="C158" s="61"/>
      <c r="D158" s="36" t="s">
        <v>49</v>
      </c>
      <c r="E158" s="37"/>
      <c r="F158" s="37" t="s">
        <v>51</v>
      </c>
      <c r="G158" s="62"/>
      <c r="H158" s="43"/>
      <c r="I158" s="37"/>
      <c r="J158" s="42"/>
      <c r="K158" s="43" t="s">
        <v>95</v>
      </c>
      <c r="L158" s="44"/>
      <c r="M158" s="45" t="s">
        <v>0</v>
      </c>
      <c r="N158" s="45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4">
        <v>158.0</v>
      </c>
      <c r="B159" s="29" t="str">
        <f t="shared" si="1"/>
        <v>-</v>
      </c>
      <c r="C159" s="61"/>
      <c r="D159" s="36" t="s">
        <v>49</v>
      </c>
      <c r="E159" s="37"/>
      <c r="F159" s="37" t="s">
        <v>51</v>
      </c>
      <c r="G159" s="62"/>
      <c r="H159" s="43"/>
      <c r="I159" s="37"/>
      <c r="J159" s="42"/>
      <c r="K159" s="43" t="s">
        <v>95</v>
      </c>
      <c r="L159" s="44"/>
      <c r="M159" s="45" t="s">
        <v>0</v>
      </c>
      <c r="N159" s="45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4">
        <v>159.0</v>
      </c>
      <c r="B160" s="29" t="str">
        <f t="shared" si="1"/>
        <v>-</v>
      </c>
      <c r="C160" s="61"/>
      <c r="D160" s="36" t="s">
        <v>49</v>
      </c>
      <c r="E160" s="37"/>
      <c r="F160" s="37" t="s">
        <v>51</v>
      </c>
      <c r="G160" s="62"/>
      <c r="H160" s="43"/>
      <c r="I160" s="37"/>
      <c r="J160" s="42"/>
      <c r="K160" s="43" t="s">
        <v>95</v>
      </c>
      <c r="L160" s="44"/>
      <c r="M160" s="45" t="s">
        <v>0</v>
      </c>
      <c r="N160" s="45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4">
        <v>160.0</v>
      </c>
      <c r="B161" s="29" t="str">
        <f t="shared" si="1"/>
        <v>-</v>
      </c>
      <c r="C161" s="61"/>
      <c r="D161" s="36" t="s">
        <v>49</v>
      </c>
      <c r="E161" s="37"/>
      <c r="F161" s="37" t="s">
        <v>51</v>
      </c>
      <c r="G161" s="62"/>
      <c r="H161" s="43"/>
      <c r="I161" s="37"/>
      <c r="J161" s="42"/>
      <c r="K161" s="43" t="s">
        <v>95</v>
      </c>
      <c r="L161" s="44"/>
      <c r="M161" s="45" t="s">
        <v>0</v>
      </c>
      <c r="N161" s="45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4">
        <v>161.0</v>
      </c>
      <c r="B162" s="29" t="str">
        <f t="shared" si="1"/>
        <v>-</v>
      </c>
      <c r="C162" s="61"/>
      <c r="D162" s="36" t="s">
        <v>49</v>
      </c>
      <c r="E162" s="37"/>
      <c r="F162" s="37" t="s">
        <v>51</v>
      </c>
      <c r="G162" s="62"/>
      <c r="H162" s="43"/>
      <c r="I162" s="37"/>
      <c r="J162" s="42"/>
      <c r="K162" s="43" t="s">
        <v>95</v>
      </c>
      <c r="L162" s="44"/>
      <c r="M162" s="45" t="s">
        <v>0</v>
      </c>
      <c r="N162" s="45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4">
        <v>162.0</v>
      </c>
      <c r="B163" s="29" t="str">
        <f t="shared" si="1"/>
        <v>-</v>
      </c>
      <c r="C163" s="61"/>
      <c r="D163" s="36" t="s">
        <v>49</v>
      </c>
      <c r="E163" s="37"/>
      <c r="F163" s="37" t="s">
        <v>51</v>
      </c>
      <c r="G163" s="62"/>
      <c r="H163" s="43"/>
      <c r="I163" s="37"/>
      <c r="J163" s="42"/>
      <c r="K163" s="43" t="s">
        <v>95</v>
      </c>
      <c r="L163" s="44"/>
      <c r="M163" s="45" t="s">
        <v>0</v>
      </c>
      <c r="N163" s="45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4">
        <v>163.0</v>
      </c>
      <c r="B164" s="29" t="str">
        <f t="shared" si="1"/>
        <v>-</v>
      </c>
      <c r="C164" s="61"/>
      <c r="D164" s="36" t="s">
        <v>49</v>
      </c>
      <c r="E164" s="37"/>
      <c r="F164" s="37" t="s">
        <v>51</v>
      </c>
      <c r="G164" s="62"/>
      <c r="H164" s="43"/>
      <c r="I164" s="37"/>
      <c r="J164" s="42"/>
      <c r="K164" s="43" t="s">
        <v>95</v>
      </c>
      <c r="L164" s="44"/>
      <c r="M164" s="45" t="s">
        <v>0</v>
      </c>
      <c r="N164" s="45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4">
        <v>164.0</v>
      </c>
      <c r="B165" s="29" t="str">
        <f t="shared" si="1"/>
        <v>-</v>
      </c>
      <c r="C165" s="61"/>
      <c r="D165" s="36" t="s">
        <v>49</v>
      </c>
      <c r="E165" s="37"/>
      <c r="F165" s="37" t="s">
        <v>51</v>
      </c>
      <c r="G165" s="62"/>
      <c r="H165" s="43"/>
      <c r="I165" s="37"/>
      <c r="J165" s="42"/>
      <c r="K165" s="43" t="s">
        <v>95</v>
      </c>
      <c r="L165" s="44"/>
      <c r="M165" s="45" t="s">
        <v>0</v>
      </c>
      <c r="N165" s="45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4">
        <v>165.0</v>
      </c>
      <c r="B166" s="29" t="str">
        <f t="shared" si="1"/>
        <v>-</v>
      </c>
      <c r="C166" s="61"/>
      <c r="D166" s="36" t="s">
        <v>49</v>
      </c>
      <c r="E166" s="37"/>
      <c r="F166" s="37" t="s">
        <v>51</v>
      </c>
      <c r="G166" s="62"/>
      <c r="H166" s="43"/>
      <c r="I166" s="37"/>
      <c r="J166" s="42"/>
      <c r="K166" s="43" t="s">
        <v>95</v>
      </c>
      <c r="L166" s="44"/>
      <c r="M166" s="45" t="s">
        <v>0</v>
      </c>
      <c r="N166" s="45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4">
        <v>166.0</v>
      </c>
      <c r="B167" s="29" t="str">
        <f t="shared" si="1"/>
        <v>-</v>
      </c>
      <c r="C167" s="61"/>
      <c r="D167" s="36" t="s">
        <v>49</v>
      </c>
      <c r="E167" s="37"/>
      <c r="F167" s="37" t="s">
        <v>51</v>
      </c>
      <c r="G167" s="62"/>
      <c r="H167" s="43"/>
      <c r="I167" s="37"/>
      <c r="J167" s="42"/>
      <c r="K167" s="43" t="s">
        <v>95</v>
      </c>
      <c r="L167" s="44"/>
      <c r="M167" s="45" t="s">
        <v>0</v>
      </c>
      <c r="N167" s="45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4">
        <v>167.0</v>
      </c>
      <c r="B168" s="29" t="str">
        <f t="shared" si="1"/>
        <v>-</v>
      </c>
      <c r="C168" s="61"/>
      <c r="D168" s="36" t="s">
        <v>49</v>
      </c>
      <c r="E168" s="37"/>
      <c r="F168" s="37" t="s">
        <v>51</v>
      </c>
      <c r="G168" s="62"/>
      <c r="H168" s="43"/>
      <c r="I168" s="37"/>
      <c r="J168" s="42"/>
      <c r="K168" s="43" t="s">
        <v>95</v>
      </c>
      <c r="L168" s="44"/>
      <c r="M168" s="45" t="s">
        <v>0</v>
      </c>
      <c r="N168" s="45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4">
        <v>168.0</v>
      </c>
      <c r="B169" s="29" t="str">
        <f t="shared" si="1"/>
        <v>-</v>
      </c>
      <c r="C169" s="61"/>
      <c r="D169" s="36" t="s">
        <v>49</v>
      </c>
      <c r="E169" s="37"/>
      <c r="F169" s="37" t="s">
        <v>51</v>
      </c>
      <c r="G169" s="62"/>
      <c r="H169" s="43"/>
      <c r="I169" s="37"/>
      <c r="J169" s="42"/>
      <c r="K169" s="43" t="s">
        <v>95</v>
      </c>
      <c r="L169" s="44"/>
      <c r="M169" s="45" t="s">
        <v>0</v>
      </c>
      <c r="N169" s="45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4">
        <v>169.0</v>
      </c>
      <c r="B170" s="29" t="str">
        <f t="shared" si="1"/>
        <v>-</v>
      </c>
      <c r="C170" s="61"/>
      <c r="D170" s="36" t="s">
        <v>49</v>
      </c>
      <c r="E170" s="37"/>
      <c r="F170" s="37" t="s">
        <v>51</v>
      </c>
      <c r="G170" s="62"/>
      <c r="H170" s="43"/>
      <c r="I170" s="37"/>
      <c r="J170" s="42"/>
      <c r="K170" s="43" t="s">
        <v>95</v>
      </c>
      <c r="L170" s="44"/>
      <c r="M170" s="45" t="s">
        <v>0</v>
      </c>
      <c r="N170" s="45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4">
        <v>170.0</v>
      </c>
      <c r="B171" s="29" t="str">
        <f t="shared" si="1"/>
        <v>-</v>
      </c>
      <c r="C171" s="61"/>
      <c r="D171" s="36" t="s">
        <v>49</v>
      </c>
      <c r="E171" s="37"/>
      <c r="F171" s="37" t="s">
        <v>51</v>
      </c>
      <c r="G171" s="62"/>
      <c r="H171" s="43"/>
      <c r="I171" s="37"/>
      <c r="J171" s="42"/>
      <c r="K171" s="43" t="s">
        <v>95</v>
      </c>
      <c r="L171" s="44"/>
      <c r="M171" s="45" t="s">
        <v>0</v>
      </c>
      <c r="N171" s="45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4">
        <v>171.0</v>
      </c>
      <c r="B172" s="29" t="str">
        <f t="shared" si="1"/>
        <v>-</v>
      </c>
      <c r="C172" s="61"/>
      <c r="D172" s="36" t="s">
        <v>49</v>
      </c>
      <c r="E172" s="37"/>
      <c r="F172" s="37" t="s">
        <v>51</v>
      </c>
      <c r="G172" s="62"/>
      <c r="H172" s="43"/>
      <c r="I172" s="37"/>
      <c r="J172" s="42"/>
      <c r="K172" s="43" t="s">
        <v>95</v>
      </c>
      <c r="L172" s="44"/>
      <c r="M172" s="45" t="s">
        <v>0</v>
      </c>
      <c r="N172" s="45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4">
        <v>172.0</v>
      </c>
      <c r="B173" s="29" t="str">
        <f t="shared" si="1"/>
        <v>-</v>
      </c>
      <c r="C173" s="61"/>
      <c r="D173" s="36" t="s">
        <v>49</v>
      </c>
      <c r="E173" s="37"/>
      <c r="F173" s="37" t="s">
        <v>51</v>
      </c>
      <c r="G173" s="62"/>
      <c r="H173" s="43"/>
      <c r="I173" s="37"/>
      <c r="J173" s="42"/>
      <c r="K173" s="43" t="s">
        <v>95</v>
      </c>
      <c r="L173" s="44"/>
      <c r="M173" s="45" t="s">
        <v>0</v>
      </c>
      <c r="N173" s="45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4">
        <v>173.0</v>
      </c>
      <c r="B174" s="29" t="str">
        <f t="shared" si="1"/>
        <v>-</v>
      </c>
      <c r="C174" s="61"/>
      <c r="D174" s="36" t="s">
        <v>49</v>
      </c>
      <c r="E174" s="37"/>
      <c r="F174" s="37" t="s">
        <v>51</v>
      </c>
      <c r="G174" s="62"/>
      <c r="H174" s="43"/>
      <c r="I174" s="37"/>
      <c r="J174" s="42"/>
      <c r="K174" s="43" t="s">
        <v>95</v>
      </c>
      <c r="L174" s="44"/>
      <c r="M174" s="45" t="s">
        <v>0</v>
      </c>
      <c r="N174" s="45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4">
        <v>174.0</v>
      </c>
      <c r="B175" s="29" t="str">
        <f t="shared" si="1"/>
        <v>-</v>
      </c>
      <c r="C175" s="61"/>
      <c r="D175" s="36" t="s">
        <v>49</v>
      </c>
      <c r="E175" s="37"/>
      <c r="F175" s="37" t="s">
        <v>51</v>
      </c>
      <c r="G175" s="62"/>
      <c r="H175" s="43"/>
      <c r="I175" s="37"/>
      <c r="J175" s="42"/>
      <c r="K175" s="43" t="s">
        <v>95</v>
      </c>
      <c r="L175" s="44"/>
      <c r="M175" s="45" t="s">
        <v>0</v>
      </c>
      <c r="N175" s="45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4">
        <v>175.0</v>
      </c>
      <c r="B176" s="29" t="str">
        <f t="shared" si="1"/>
        <v>-</v>
      </c>
      <c r="C176" s="61"/>
      <c r="D176" s="36" t="s">
        <v>49</v>
      </c>
      <c r="E176" s="37"/>
      <c r="F176" s="37" t="s">
        <v>51</v>
      </c>
      <c r="G176" s="62"/>
      <c r="H176" s="43"/>
      <c r="I176" s="37"/>
      <c r="J176" s="42"/>
      <c r="K176" s="43" t="s">
        <v>95</v>
      </c>
      <c r="L176" s="44"/>
      <c r="M176" s="45" t="s">
        <v>0</v>
      </c>
      <c r="N176" s="45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4">
        <v>176.0</v>
      </c>
      <c r="B177" s="29" t="str">
        <f t="shared" si="1"/>
        <v>-</v>
      </c>
      <c r="C177" s="61"/>
      <c r="D177" s="36" t="s">
        <v>49</v>
      </c>
      <c r="E177" s="37"/>
      <c r="F177" s="37" t="s">
        <v>51</v>
      </c>
      <c r="G177" s="62"/>
      <c r="H177" s="43"/>
      <c r="I177" s="37"/>
      <c r="J177" s="42"/>
      <c r="K177" s="43" t="s">
        <v>95</v>
      </c>
      <c r="L177" s="44"/>
      <c r="M177" s="45" t="s">
        <v>0</v>
      </c>
      <c r="N177" s="45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4">
        <v>177.0</v>
      </c>
      <c r="B178" s="29" t="str">
        <f t="shared" si="1"/>
        <v>-</v>
      </c>
      <c r="C178" s="61"/>
      <c r="D178" s="36" t="s">
        <v>49</v>
      </c>
      <c r="E178" s="37"/>
      <c r="F178" s="37" t="s">
        <v>51</v>
      </c>
      <c r="G178" s="62"/>
      <c r="H178" s="43"/>
      <c r="I178" s="37"/>
      <c r="J178" s="42"/>
      <c r="K178" s="43" t="s">
        <v>95</v>
      </c>
      <c r="L178" s="44"/>
      <c r="M178" s="45" t="s">
        <v>0</v>
      </c>
      <c r="N178" s="45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4">
        <v>178.0</v>
      </c>
      <c r="B179" s="29" t="str">
        <f t="shared" si="1"/>
        <v>-</v>
      </c>
      <c r="C179" s="61"/>
      <c r="D179" s="36" t="s">
        <v>49</v>
      </c>
      <c r="E179" s="37"/>
      <c r="F179" s="37" t="s">
        <v>51</v>
      </c>
      <c r="G179" s="62"/>
      <c r="H179" s="43"/>
      <c r="I179" s="37"/>
      <c r="J179" s="42"/>
      <c r="K179" s="43" t="s">
        <v>95</v>
      </c>
      <c r="L179" s="44"/>
      <c r="M179" s="45" t="s">
        <v>0</v>
      </c>
      <c r="N179" s="45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4">
        <v>179.0</v>
      </c>
      <c r="B180" s="29" t="str">
        <f t="shared" si="1"/>
        <v>-</v>
      </c>
      <c r="C180" s="61"/>
      <c r="D180" s="36" t="s">
        <v>49</v>
      </c>
      <c r="E180" s="37"/>
      <c r="F180" s="37" t="s">
        <v>51</v>
      </c>
      <c r="G180" s="62"/>
      <c r="H180" s="43"/>
      <c r="I180" s="37"/>
      <c r="J180" s="42"/>
      <c r="K180" s="43" t="s">
        <v>95</v>
      </c>
      <c r="L180" s="44"/>
      <c r="M180" s="45" t="s">
        <v>0</v>
      </c>
      <c r="N180" s="45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4">
        <v>180.0</v>
      </c>
      <c r="B181" s="29" t="str">
        <f t="shared" si="1"/>
        <v>-</v>
      </c>
      <c r="C181" s="61"/>
      <c r="D181" s="36" t="s">
        <v>49</v>
      </c>
      <c r="E181" s="37"/>
      <c r="F181" s="37" t="s">
        <v>51</v>
      </c>
      <c r="G181" s="62"/>
      <c r="H181" s="43"/>
      <c r="I181" s="37"/>
      <c r="J181" s="42"/>
      <c r="K181" s="43" t="s">
        <v>95</v>
      </c>
      <c r="L181" s="44"/>
      <c r="M181" s="45" t="s">
        <v>0</v>
      </c>
      <c r="N181" s="45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4">
        <v>181.0</v>
      </c>
      <c r="B182" s="29" t="str">
        <f t="shared" si="1"/>
        <v>-</v>
      </c>
      <c r="C182" s="61"/>
      <c r="D182" s="36" t="s">
        <v>49</v>
      </c>
      <c r="E182" s="37"/>
      <c r="F182" s="37" t="s">
        <v>51</v>
      </c>
      <c r="G182" s="62"/>
      <c r="H182" s="43"/>
      <c r="I182" s="37"/>
      <c r="J182" s="42"/>
      <c r="K182" s="43" t="s">
        <v>95</v>
      </c>
      <c r="L182" s="44"/>
      <c r="M182" s="45" t="s">
        <v>0</v>
      </c>
      <c r="N182" s="45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4">
        <v>182.0</v>
      </c>
      <c r="B183" s="29" t="str">
        <f t="shared" si="1"/>
        <v>-</v>
      </c>
      <c r="C183" s="61"/>
      <c r="D183" s="36" t="s">
        <v>49</v>
      </c>
      <c r="E183" s="37"/>
      <c r="F183" s="37" t="s">
        <v>51</v>
      </c>
      <c r="G183" s="62"/>
      <c r="H183" s="43"/>
      <c r="I183" s="37"/>
      <c r="J183" s="42"/>
      <c r="K183" s="43" t="s">
        <v>95</v>
      </c>
      <c r="L183" s="44"/>
      <c r="M183" s="45" t="s">
        <v>0</v>
      </c>
      <c r="N183" s="45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4">
        <v>183.0</v>
      </c>
      <c r="B184" s="29" t="str">
        <f t="shared" si="1"/>
        <v>-</v>
      </c>
      <c r="C184" s="61"/>
      <c r="D184" s="36" t="s">
        <v>49</v>
      </c>
      <c r="E184" s="37"/>
      <c r="F184" s="37" t="s">
        <v>51</v>
      </c>
      <c r="G184" s="62"/>
      <c r="H184" s="43"/>
      <c r="I184" s="37"/>
      <c r="J184" s="42"/>
      <c r="K184" s="43" t="s">
        <v>95</v>
      </c>
      <c r="L184" s="44"/>
      <c r="M184" s="45" t="s">
        <v>0</v>
      </c>
      <c r="N184" s="45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4">
        <v>184.0</v>
      </c>
      <c r="B185" s="29" t="str">
        <f t="shared" si="1"/>
        <v>-</v>
      </c>
      <c r="C185" s="61"/>
      <c r="D185" s="36" t="s">
        <v>49</v>
      </c>
      <c r="E185" s="37"/>
      <c r="F185" s="37" t="s">
        <v>51</v>
      </c>
      <c r="G185" s="62"/>
      <c r="H185" s="43"/>
      <c r="I185" s="37"/>
      <c r="J185" s="42"/>
      <c r="K185" s="43" t="s">
        <v>95</v>
      </c>
      <c r="L185" s="44"/>
      <c r="M185" s="45" t="s">
        <v>0</v>
      </c>
      <c r="N185" s="45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4">
        <v>185.0</v>
      </c>
      <c r="B186" s="29" t="str">
        <f t="shared" si="1"/>
        <v>-</v>
      </c>
      <c r="C186" s="61"/>
      <c r="D186" s="36" t="s">
        <v>49</v>
      </c>
      <c r="E186" s="37"/>
      <c r="F186" s="37" t="s">
        <v>51</v>
      </c>
      <c r="G186" s="62"/>
      <c r="H186" s="43"/>
      <c r="I186" s="37"/>
      <c r="J186" s="42"/>
      <c r="K186" s="43" t="s">
        <v>95</v>
      </c>
      <c r="L186" s="44"/>
      <c r="M186" s="45" t="s">
        <v>0</v>
      </c>
      <c r="N186" s="45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4">
        <v>186.0</v>
      </c>
      <c r="B187" s="29" t="str">
        <f t="shared" si="1"/>
        <v>-</v>
      </c>
      <c r="C187" s="61"/>
      <c r="D187" s="36" t="s">
        <v>49</v>
      </c>
      <c r="E187" s="37"/>
      <c r="F187" s="37" t="s">
        <v>51</v>
      </c>
      <c r="G187" s="62"/>
      <c r="H187" s="43"/>
      <c r="I187" s="37"/>
      <c r="J187" s="42"/>
      <c r="K187" s="43" t="s">
        <v>95</v>
      </c>
      <c r="L187" s="44"/>
      <c r="M187" s="45" t="s">
        <v>0</v>
      </c>
      <c r="N187" s="45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4">
        <v>187.0</v>
      </c>
      <c r="B188" s="29" t="str">
        <f t="shared" si="1"/>
        <v>-</v>
      </c>
      <c r="C188" s="61"/>
      <c r="D188" s="36" t="s">
        <v>49</v>
      </c>
      <c r="E188" s="37"/>
      <c r="F188" s="37" t="s">
        <v>51</v>
      </c>
      <c r="G188" s="62"/>
      <c r="H188" s="43"/>
      <c r="I188" s="37"/>
      <c r="J188" s="42"/>
      <c r="K188" s="43" t="s">
        <v>95</v>
      </c>
      <c r="L188" s="44"/>
      <c r="M188" s="45" t="s">
        <v>0</v>
      </c>
      <c r="N188" s="45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4">
        <v>188.0</v>
      </c>
      <c r="B189" s="29" t="str">
        <f t="shared" si="1"/>
        <v>-</v>
      </c>
      <c r="C189" s="61"/>
      <c r="D189" s="36" t="s">
        <v>49</v>
      </c>
      <c r="E189" s="37"/>
      <c r="F189" s="37" t="s">
        <v>51</v>
      </c>
      <c r="G189" s="62"/>
      <c r="H189" s="43"/>
      <c r="I189" s="37"/>
      <c r="J189" s="42"/>
      <c r="K189" s="43" t="s">
        <v>95</v>
      </c>
      <c r="L189" s="44"/>
      <c r="M189" s="45" t="s">
        <v>0</v>
      </c>
      <c r="N189" s="45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4">
        <v>189.0</v>
      </c>
      <c r="B190" s="29" t="str">
        <f t="shared" si="1"/>
        <v>-</v>
      </c>
      <c r="C190" s="61"/>
      <c r="D190" s="36" t="s">
        <v>49</v>
      </c>
      <c r="E190" s="37"/>
      <c r="F190" s="37" t="s">
        <v>51</v>
      </c>
      <c r="G190" s="62"/>
      <c r="H190" s="43"/>
      <c r="I190" s="37"/>
      <c r="J190" s="42"/>
      <c r="K190" s="43" t="s">
        <v>95</v>
      </c>
      <c r="L190" s="44"/>
      <c r="M190" s="45" t="s">
        <v>0</v>
      </c>
      <c r="N190" s="45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4">
        <v>190.0</v>
      </c>
      <c r="B191" s="29" t="str">
        <f t="shared" si="1"/>
        <v>-</v>
      </c>
      <c r="C191" s="61"/>
      <c r="D191" s="36" t="s">
        <v>49</v>
      </c>
      <c r="E191" s="37"/>
      <c r="F191" s="37" t="s">
        <v>51</v>
      </c>
      <c r="G191" s="62"/>
      <c r="H191" s="43"/>
      <c r="I191" s="37"/>
      <c r="J191" s="42"/>
      <c r="K191" s="43" t="s">
        <v>95</v>
      </c>
      <c r="L191" s="44"/>
      <c r="M191" s="45" t="s">
        <v>0</v>
      </c>
      <c r="N191" s="45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4">
        <v>191.0</v>
      </c>
      <c r="B192" s="29" t="str">
        <f t="shared" si="1"/>
        <v>-</v>
      </c>
      <c r="C192" s="61"/>
      <c r="D192" s="36" t="s">
        <v>49</v>
      </c>
      <c r="E192" s="37"/>
      <c r="F192" s="37" t="s">
        <v>51</v>
      </c>
      <c r="G192" s="62"/>
      <c r="H192" s="43"/>
      <c r="I192" s="37"/>
      <c r="J192" s="42"/>
      <c r="K192" s="43" t="s">
        <v>95</v>
      </c>
      <c r="L192" s="44"/>
      <c r="M192" s="45" t="s">
        <v>0</v>
      </c>
      <c r="N192" s="45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4">
        <v>192.0</v>
      </c>
      <c r="B193" s="29" t="str">
        <f t="shared" si="1"/>
        <v>-</v>
      </c>
      <c r="C193" s="61"/>
      <c r="D193" s="36" t="s">
        <v>49</v>
      </c>
      <c r="E193" s="37"/>
      <c r="F193" s="37" t="s">
        <v>51</v>
      </c>
      <c r="G193" s="62"/>
      <c r="H193" s="43"/>
      <c r="I193" s="37"/>
      <c r="J193" s="42"/>
      <c r="K193" s="43" t="s">
        <v>95</v>
      </c>
      <c r="L193" s="44"/>
      <c r="M193" s="45" t="s">
        <v>0</v>
      </c>
      <c r="N193" s="45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4">
        <v>193.0</v>
      </c>
      <c r="B194" s="29" t="str">
        <f t="shared" si="1"/>
        <v>-</v>
      </c>
      <c r="C194" s="61"/>
      <c r="D194" s="36" t="s">
        <v>49</v>
      </c>
      <c r="E194" s="37"/>
      <c r="F194" s="37" t="s">
        <v>51</v>
      </c>
      <c r="G194" s="62"/>
      <c r="H194" s="43"/>
      <c r="I194" s="37"/>
      <c r="J194" s="42"/>
      <c r="K194" s="43" t="s">
        <v>95</v>
      </c>
      <c r="L194" s="44"/>
      <c r="M194" s="45" t="s">
        <v>0</v>
      </c>
      <c r="N194" s="45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4">
        <v>194.0</v>
      </c>
      <c r="B195" s="29" t="str">
        <f t="shared" si="1"/>
        <v>-</v>
      </c>
      <c r="C195" s="61"/>
      <c r="D195" s="36" t="s">
        <v>49</v>
      </c>
      <c r="E195" s="37"/>
      <c r="F195" s="37" t="s">
        <v>51</v>
      </c>
      <c r="G195" s="62"/>
      <c r="H195" s="43"/>
      <c r="I195" s="37"/>
      <c r="J195" s="42"/>
      <c r="K195" s="43" t="s">
        <v>95</v>
      </c>
      <c r="L195" s="44"/>
      <c r="M195" s="45" t="s">
        <v>0</v>
      </c>
      <c r="N195" s="45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4">
        <v>195.0</v>
      </c>
      <c r="B196" s="29" t="str">
        <f t="shared" si="1"/>
        <v>-</v>
      </c>
      <c r="C196" s="61"/>
      <c r="D196" s="36" t="s">
        <v>49</v>
      </c>
      <c r="E196" s="37"/>
      <c r="F196" s="37" t="s">
        <v>51</v>
      </c>
      <c r="G196" s="62"/>
      <c r="H196" s="43"/>
      <c r="I196" s="37"/>
      <c r="J196" s="42"/>
      <c r="K196" s="43" t="s">
        <v>95</v>
      </c>
      <c r="L196" s="44"/>
      <c r="M196" s="45" t="s">
        <v>0</v>
      </c>
      <c r="N196" s="45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4">
        <v>196.0</v>
      </c>
      <c r="B197" s="29" t="str">
        <f t="shared" si="1"/>
        <v>-</v>
      </c>
      <c r="C197" s="61"/>
      <c r="D197" s="36" t="s">
        <v>49</v>
      </c>
      <c r="E197" s="37"/>
      <c r="F197" s="37" t="s">
        <v>51</v>
      </c>
      <c r="G197" s="62"/>
      <c r="H197" s="43"/>
      <c r="I197" s="37"/>
      <c r="J197" s="42"/>
      <c r="K197" s="43" t="s">
        <v>95</v>
      </c>
      <c r="L197" s="44"/>
      <c r="M197" s="45" t="s">
        <v>0</v>
      </c>
      <c r="N197" s="45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4">
        <v>197.0</v>
      </c>
      <c r="B198" s="29" t="str">
        <f t="shared" si="1"/>
        <v>-</v>
      </c>
      <c r="C198" s="61"/>
      <c r="D198" s="36" t="s">
        <v>49</v>
      </c>
      <c r="E198" s="37"/>
      <c r="F198" s="37" t="s">
        <v>51</v>
      </c>
      <c r="G198" s="62"/>
      <c r="H198" s="43"/>
      <c r="I198" s="37"/>
      <c r="J198" s="42"/>
      <c r="K198" s="43" t="s">
        <v>95</v>
      </c>
      <c r="L198" s="44"/>
      <c r="M198" s="45" t="s">
        <v>0</v>
      </c>
      <c r="N198" s="45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4">
        <v>198.0</v>
      </c>
      <c r="B199" s="29" t="str">
        <f t="shared" si="1"/>
        <v>-</v>
      </c>
      <c r="C199" s="61"/>
      <c r="D199" s="36" t="s">
        <v>49</v>
      </c>
      <c r="E199" s="37"/>
      <c r="F199" s="37" t="s">
        <v>51</v>
      </c>
      <c r="G199" s="62"/>
      <c r="H199" s="43"/>
      <c r="I199" s="37"/>
      <c r="J199" s="42"/>
      <c r="K199" s="43" t="s">
        <v>95</v>
      </c>
      <c r="L199" s="44"/>
      <c r="M199" s="45" t="s">
        <v>0</v>
      </c>
      <c r="N199" s="45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4">
        <v>199.0</v>
      </c>
      <c r="B200" s="29" t="str">
        <f t="shared" si="1"/>
        <v>-</v>
      </c>
      <c r="C200" s="61"/>
      <c r="D200" s="36" t="s">
        <v>49</v>
      </c>
      <c r="E200" s="37"/>
      <c r="F200" s="37" t="s">
        <v>51</v>
      </c>
      <c r="G200" s="62"/>
      <c r="H200" s="43"/>
      <c r="I200" s="37"/>
      <c r="J200" s="42"/>
      <c r="K200" s="43" t="s">
        <v>95</v>
      </c>
      <c r="L200" s="44"/>
      <c r="M200" s="45" t="s">
        <v>0</v>
      </c>
      <c r="N200" s="45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4">
        <v>200.0</v>
      </c>
      <c r="B201" s="29" t="str">
        <f t="shared" si="1"/>
        <v>-</v>
      </c>
      <c r="C201" s="61"/>
      <c r="D201" s="36" t="s">
        <v>49</v>
      </c>
      <c r="E201" s="37"/>
      <c r="F201" s="37" t="s">
        <v>51</v>
      </c>
      <c r="G201" s="62"/>
      <c r="H201" s="43"/>
      <c r="I201" s="37"/>
      <c r="J201" s="42"/>
      <c r="K201" s="43" t="s">
        <v>95</v>
      </c>
      <c r="L201" s="44"/>
      <c r="M201" s="45" t="s">
        <v>0</v>
      </c>
      <c r="N201" s="45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4">
        <v>201.0</v>
      </c>
      <c r="B202" s="29" t="str">
        <f t="shared" si="1"/>
        <v>-</v>
      </c>
      <c r="C202" s="61"/>
      <c r="D202" s="36" t="s">
        <v>49</v>
      </c>
      <c r="E202" s="37"/>
      <c r="F202" s="37" t="s">
        <v>51</v>
      </c>
      <c r="G202" s="62"/>
      <c r="H202" s="43"/>
      <c r="I202" s="37"/>
      <c r="J202" s="42"/>
      <c r="K202" s="43" t="s">
        <v>95</v>
      </c>
      <c r="L202" s="44"/>
      <c r="M202" s="45" t="s">
        <v>0</v>
      </c>
      <c r="N202" s="45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4">
        <v>202.0</v>
      </c>
      <c r="B203" s="29" t="str">
        <f t="shared" si="1"/>
        <v>-</v>
      </c>
      <c r="C203" s="61"/>
      <c r="D203" s="36" t="s">
        <v>49</v>
      </c>
      <c r="E203" s="37"/>
      <c r="F203" s="37" t="s">
        <v>51</v>
      </c>
      <c r="G203" s="62"/>
      <c r="H203" s="43"/>
      <c r="I203" s="37"/>
      <c r="J203" s="42"/>
      <c r="K203" s="43" t="s">
        <v>95</v>
      </c>
      <c r="L203" s="44"/>
      <c r="M203" s="45" t="s">
        <v>0</v>
      </c>
      <c r="N203" s="45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4">
        <v>203.0</v>
      </c>
      <c r="B204" s="29" t="str">
        <f t="shared" si="1"/>
        <v>-</v>
      </c>
      <c r="C204" s="61"/>
      <c r="D204" s="36" t="s">
        <v>49</v>
      </c>
      <c r="E204" s="37"/>
      <c r="F204" s="37" t="s">
        <v>51</v>
      </c>
      <c r="G204" s="62"/>
      <c r="H204" s="43"/>
      <c r="I204" s="37"/>
      <c r="J204" s="42"/>
      <c r="K204" s="43" t="s">
        <v>95</v>
      </c>
      <c r="L204" s="44"/>
      <c r="M204" s="45" t="s">
        <v>0</v>
      </c>
      <c r="N204" s="45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4">
        <v>204.0</v>
      </c>
      <c r="B205" s="29" t="str">
        <f t="shared" si="1"/>
        <v>-</v>
      </c>
      <c r="C205" s="61"/>
      <c r="D205" s="36" t="s">
        <v>49</v>
      </c>
      <c r="E205" s="37"/>
      <c r="F205" s="37" t="s">
        <v>51</v>
      </c>
      <c r="G205" s="62"/>
      <c r="H205" s="43"/>
      <c r="I205" s="37"/>
      <c r="J205" s="42"/>
      <c r="K205" s="43" t="s">
        <v>95</v>
      </c>
      <c r="L205" s="44"/>
      <c r="M205" s="45" t="s">
        <v>0</v>
      </c>
      <c r="N205" s="45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4">
        <v>205.0</v>
      </c>
      <c r="B206" s="29" t="str">
        <f t="shared" si="1"/>
        <v>-</v>
      </c>
      <c r="C206" s="61"/>
      <c r="D206" s="36" t="s">
        <v>49</v>
      </c>
      <c r="E206" s="37"/>
      <c r="F206" s="37" t="s">
        <v>51</v>
      </c>
      <c r="G206" s="62"/>
      <c r="H206" s="43"/>
      <c r="I206" s="37"/>
      <c r="J206" s="42"/>
      <c r="K206" s="43" t="s">
        <v>95</v>
      </c>
      <c r="L206" s="44"/>
      <c r="M206" s="45" t="s">
        <v>0</v>
      </c>
      <c r="N206" s="45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4">
        <v>206.0</v>
      </c>
      <c r="B207" s="29" t="str">
        <f t="shared" si="1"/>
        <v>-</v>
      </c>
      <c r="C207" s="61"/>
      <c r="D207" s="36" t="s">
        <v>49</v>
      </c>
      <c r="E207" s="37"/>
      <c r="F207" s="37" t="s">
        <v>51</v>
      </c>
      <c r="G207" s="62"/>
      <c r="H207" s="43"/>
      <c r="I207" s="37"/>
      <c r="J207" s="42"/>
      <c r="K207" s="43" t="s">
        <v>95</v>
      </c>
      <c r="L207" s="44"/>
      <c r="M207" s="45" t="s">
        <v>0</v>
      </c>
      <c r="N207" s="45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4">
        <v>207.0</v>
      </c>
      <c r="B208" s="29" t="str">
        <f t="shared" si="1"/>
        <v>-</v>
      </c>
      <c r="C208" s="61"/>
      <c r="D208" s="36" t="s">
        <v>49</v>
      </c>
      <c r="E208" s="37"/>
      <c r="F208" s="37" t="s">
        <v>51</v>
      </c>
      <c r="G208" s="62"/>
      <c r="H208" s="43"/>
      <c r="I208" s="37"/>
      <c r="J208" s="42"/>
      <c r="K208" s="43" t="s">
        <v>95</v>
      </c>
      <c r="L208" s="44"/>
      <c r="M208" s="45" t="s">
        <v>0</v>
      </c>
      <c r="N208" s="45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4">
        <v>208.0</v>
      </c>
      <c r="B209" s="29" t="str">
        <f t="shared" si="1"/>
        <v>-</v>
      </c>
      <c r="C209" s="61"/>
      <c r="D209" s="36" t="s">
        <v>49</v>
      </c>
      <c r="E209" s="37"/>
      <c r="F209" s="37" t="s">
        <v>51</v>
      </c>
      <c r="G209" s="62"/>
      <c r="H209" s="43"/>
      <c r="I209" s="37"/>
      <c r="J209" s="42"/>
      <c r="K209" s="43" t="s">
        <v>95</v>
      </c>
      <c r="L209" s="44"/>
      <c r="M209" s="45" t="s">
        <v>0</v>
      </c>
      <c r="N209" s="45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9" t="str">
        <f t="shared" si="1"/>
        <v>-</v>
      </c>
      <c r="C210" s="61"/>
      <c r="D210" s="36" t="s">
        <v>49</v>
      </c>
      <c r="E210" s="37"/>
      <c r="F210" s="37" t="s">
        <v>51</v>
      </c>
      <c r="G210" s="62"/>
      <c r="H210" s="43"/>
      <c r="I210" s="37"/>
      <c r="J210" s="42"/>
      <c r="K210" s="43" t="s">
        <v>95</v>
      </c>
      <c r="L210" s="44"/>
      <c r="M210" s="45" t="s">
        <v>0</v>
      </c>
      <c r="N210" s="45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9" t="str">
        <f t="shared" si="1"/>
        <v>-</v>
      </c>
      <c r="C211" s="61"/>
      <c r="D211" s="36" t="s">
        <v>49</v>
      </c>
      <c r="E211" s="37"/>
      <c r="F211" s="37" t="s">
        <v>51</v>
      </c>
      <c r="G211" s="62"/>
      <c r="H211" s="43"/>
      <c r="I211" s="37"/>
      <c r="J211" s="42"/>
      <c r="K211" s="43" t="s">
        <v>95</v>
      </c>
      <c r="L211" s="44"/>
      <c r="M211" s="45" t="s">
        <v>0</v>
      </c>
      <c r="N211" s="45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9" t="str">
        <f t="shared" si="1"/>
        <v>-</v>
      </c>
      <c r="C212" s="61"/>
      <c r="D212" s="36" t="s">
        <v>49</v>
      </c>
      <c r="E212" s="37"/>
      <c r="F212" s="37" t="s">
        <v>51</v>
      </c>
      <c r="G212" s="62"/>
      <c r="H212" s="43"/>
      <c r="I212" s="37"/>
      <c r="J212" s="42"/>
      <c r="K212" s="43" t="s">
        <v>95</v>
      </c>
      <c r="L212" s="44"/>
      <c r="M212" s="45" t="s">
        <v>0</v>
      </c>
      <c r="N212" s="45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9" t="str">
        <f t="shared" si="1"/>
        <v>-</v>
      </c>
      <c r="C213" s="61"/>
      <c r="D213" s="36" t="s">
        <v>49</v>
      </c>
      <c r="E213" s="37"/>
      <c r="F213" s="37" t="s">
        <v>51</v>
      </c>
      <c r="G213" s="62"/>
      <c r="H213" s="43"/>
      <c r="I213" s="37"/>
      <c r="J213" s="42"/>
      <c r="K213" s="43" t="s">
        <v>95</v>
      </c>
      <c r="L213" s="44"/>
      <c r="M213" s="45" t="s">
        <v>0</v>
      </c>
      <c r="N213" s="45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9" t="str">
        <f t="shared" si="1"/>
        <v>-</v>
      </c>
      <c r="C214" s="61"/>
      <c r="D214" s="36" t="s">
        <v>49</v>
      </c>
      <c r="E214" s="37"/>
      <c r="F214" s="37" t="s">
        <v>51</v>
      </c>
      <c r="G214" s="62"/>
      <c r="H214" s="43"/>
      <c r="I214" s="37"/>
      <c r="J214" s="42"/>
      <c r="K214" s="43" t="s">
        <v>95</v>
      </c>
      <c r="L214" s="44"/>
      <c r="M214" s="45" t="s">
        <v>0</v>
      </c>
      <c r="N214" s="45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9" t="str">
        <f t="shared" si="1"/>
        <v>-</v>
      </c>
      <c r="C215" s="61"/>
      <c r="D215" s="36" t="s">
        <v>49</v>
      </c>
      <c r="E215" s="37"/>
      <c r="F215" s="37" t="s">
        <v>51</v>
      </c>
      <c r="G215" s="62"/>
      <c r="H215" s="43"/>
      <c r="I215" s="37"/>
      <c r="J215" s="42"/>
      <c r="K215" s="43" t="s">
        <v>95</v>
      </c>
      <c r="L215" s="44"/>
      <c r="M215" s="45" t="s">
        <v>0</v>
      </c>
      <c r="N215" s="45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9" t="str">
        <f t="shared" si="1"/>
        <v>-</v>
      </c>
      <c r="C216" s="61"/>
      <c r="D216" s="36" t="s">
        <v>49</v>
      </c>
      <c r="E216" s="37"/>
      <c r="F216" s="37" t="s">
        <v>51</v>
      </c>
      <c r="G216" s="62"/>
      <c r="H216" s="43"/>
      <c r="I216" s="37"/>
      <c r="J216" s="42"/>
      <c r="K216" s="43" t="s">
        <v>95</v>
      </c>
      <c r="L216" s="44"/>
      <c r="M216" s="45" t="s">
        <v>0</v>
      </c>
      <c r="N216" s="45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9" t="str">
        <f t="shared" si="1"/>
        <v>-</v>
      </c>
      <c r="C217" s="61"/>
      <c r="D217" s="36" t="s">
        <v>49</v>
      </c>
      <c r="E217" s="37"/>
      <c r="F217" s="37" t="s">
        <v>51</v>
      </c>
      <c r="G217" s="62"/>
      <c r="H217" s="43"/>
      <c r="I217" s="37"/>
      <c r="J217" s="42"/>
      <c r="K217" s="43" t="s">
        <v>95</v>
      </c>
      <c r="L217" s="44"/>
      <c r="M217" s="45" t="s">
        <v>0</v>
      </c>
      <c r="N217" s="45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9" t="str">
        <f t="shared" si="1"/>
        <v>-</v>
      </c>
      <c r="C218" s="61"/>
      <c r="D218" s="36" t="s">
        <v>49</v>
      </c>
      <c r="E218" s="37"/>
      <c r="F218" s="37" t="s">
        <v>51</v>
      </c>
      <c r="G218" s="62"/>
      <c r="H218" s="43"/>
      <c r="I218" s="37"/>
      <c r="J218" s="42"/>
      <c r="K218" s="43" t="s">
        <v>95</v>
      </c>
      <c r="L218" s="44"/>
      <c r="M218" s="45" t="s">
        <v>0</v>
      </c>
      <c r="N218" s="45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9" t="str">
        <f t="shared" si="1"/>
        <v>-</v>
      </c>
      <c r="C219" s="61"/>
      <c r="D219" s="36" t="s">
        <v>49</v>
      </c>
      <c r="E219" s="37"/>
      <c r="F219" s="37" t="s">
        <v>51</v>
      </c>
      <c r="G219" s="62"/>
      <c r="H219" s="43"/>
      <c r="I219" s="37"/>
      <c r="J219" s="42"/>
      <c r="K219" s="43" t="s">
        <v>95</v>
      </c>
      <c r="L219" s="44"/>
      <c r="M219" s="45" t="s">
        <v>0</v>
      </c>
      <c r="N219" s="45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9" t="str">
        <f t="shared" si="1"/>
        <v>-</v>
      </c>
      <c r="C220" s="61"/>
      <c r="D220" s="36" t="s">
        <v>49</v>
      </c>
      <c r="E220" s="37"/>
      <c r="F220" s="37" t="s">
        <v>51</v>
      </c>
      <c r="G220" s="62"/>
      <c r="H220" s="43"/>
      <c r="I220" s="37"/>
      <c r="J220" s="42"/>
      <c r="K220" s="43" t="s">
        <v>95</v>
      </c>
      <c r="L220" s="44"/>
      <c r="M220" s="45" t="s">
        <v>0</v>
      </c>
      <c r="N220" s="45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9" t="str">
        <f t="shared" si="1"/>
        <v>-</v>
      </c>
      <c r="C221" s="61"/>
      <c r="D221" s="36" t="s">
        <v>49</v>
      </c>
      <c r="E221" s="37"/>
      <c r="F221" s="37" t="s">
        <v>51</v>
      </c>
      <c r="G221" s="62"/>
      <c r="H221" s="43"/>
      <c r="I221" s="37"/>
      <c r="J221" s="42"/>
      <c r="K221" s="43" t="s">
        <v>95</v>
      </c>
      <c r="L221" s="44"/>
      <c r="M221" s="45" t="s">
        <v>0</v>
      </c>
      <c r="N221" s="45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9" t="str">
        <f t="shared" si="1"/>
        <v>-</v>
      </c>
      <c r="C222" s="61"/>
      <c r="D222" s="36" t="s">
        <v>49</v>
      </c>
      <c r="E222" s="37"/>
      <c r="F222" s="37" t="s">
        <v>51</v>
      </c>
      <c r="G222" s="62"/>
      <c r="H222" s="43"/>
      <c r="I222" s="37"/>
      <c r="J222" s="42"/>
      <c r="K222" s="43" t="s">
        <v>95</v>
      </c>
      <c r="L222" s="44"/>
      <c r="M222" s="45" t="s">
        <v>0</v>
      </c>
      <c r="N222" s="45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9" t="str">
        <f t="shared" si="1"/>
        <v>-</v>
      </c>
      <c r="C223" s="61"/>
      <c r="D223" s="36" t="s">
        <v>49</v>
      </c>
      <c r="E223" s="37"/>
      <c r="F223" s="37" t="s">
        <v>51</v>
      </c>
      <c r="G223" s="62"/>
      <c r="H223" s="43"/>
      <c r="I223" s="37"/>
      <c r="J223" s="42"/>
      <c r="K223" s="43" t="s">
        <v>95</v>
      </c>
      <c r="L223" s="44"/>
      <c r="M223" s="45" t="s">
        <v>0</v>
      </c>
      <c r="N223" s="45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9" t="str">
        <f t="shared" si="1"/>
        <v>-</v>
      </c>
      <c r="C224" s="61"/>
      <c r="D224" s="36" t="s">
        <v>49</v>
      </c>
      <c r="E224" s="37"/>
      <c r="F224" s="37" t="s">
        <v>51</v>
      </c>
      <c r="G224" s="62"/>
      <c r="H224" s="43"/>
      <c r="I224" s="37"/>
      <c r="J224" s="42"/>
      <c r="K224" s="43" t="s">
        <v>95</v>
      </c>
      <c r="L224" s="44"/>
      <c r="M224" s="45" t="s">
        <v>0</v>
      </c>
      <c r="N224" s="45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9" t="str">
        <f t="shared" si="1"/>
        <v>-</v>
      </c>
      <c r="C225" s="61"/>
      <c r="D225" s="36" t="s">
        <v>49</v>
      </c>
      <c r="E225" s="37"/>
      <c r="F225" s="37" t="s">
        <v>51</v>
      </c>
      <c r="G225" s="62"/>
      <c r="H225" s="43"/>
      <c r="I225" s="37"/>
      <c r="J225" s="42"/>
      <c r="K225" s="43" t="s">
        <v>95</v>
      </c>
      <c r="L225" s="44"/>
      <c r="M225" s="45" t="s">
        <v>0</v>
      </c>
      <c r="N225" s="45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9" t="str">
        <f t="shared" si="1"/>
        <v>-</v>
      </c>
      <c r="C226" s="61"/>
      <c r="D226" s="36" t="s">
        <v>49</v>
      </c>
      <c r="E226" s="37"/>
      <c r="F226" s="37" t="s">
        <v>51</v>
      </c>
      <c r="G226" s="62"/>
      <c r="H226" s="43"/>
      <c r="I226" s="37"/>
      <c r="J226" s="42"/>
      <c r="K226" s="43" t="s">
        <v>95</v>
      </c>
      <c r="L226" s="44"/>
      <c r="M226" s="45" t="s">
        <v>0</v>
      </c>
      <c r="N226" s="45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9" t="str">
        <f t="shared" si="1"/>
        <v>-</v>
      </c>
      <c r="C227" s="61"/>
      <c r="D227" s="36" t="s">
        <v>49</v>
      </c>
      <c r="E227" s="37"/>
      <c r="F227" s="37" t="s">
        <v>51</v>
      </c>
      <c r="G227" s="62"/>
      <c r="H227" s="43"/>
      <c r="I227" s="37"/>
      <c r="J227" s="42"/>
      <c r="K227" s="43" t="s">
        <v>95</v>
      </c>
      <c r="L227" s="44"/>
      <c r="M227" s="45" t="s">
        <v>0</v>
      </c>
      <c r="N227" s="45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9" t="str">
        <f t="shared" si="1"/>
        <v>-</v>
      </c>
      <c r="C228" s="61"/>
      <c r="D228" s="36" t="s">
        <v>49</v>
      </c>
      <c r="E228" s="37"/>
      <c r="F228" s="37" t="s">
        <v>51</v>
      </c>
      <c r="G228" s="62"/>
      <c r="H228" s="43"/>
      <c r="I228" s="37"/>
      <c r="J228" s="42"/>
      <c r="K228" s="43" t="s">
        <v>95</v>
      </c>
      <c r="L228" s="44"/>
      <c r="M228" s="45" t="s">
        <v>0</v>
      </c>
      <c r="N228" s="45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9" t="str">
        <f t="shared" si="1"/>
        <v>-</v>
      </c>
      <c r="C229" s="61"/>
      <c r="D229" s="36" t="s">
        <v>49</v>
      </c>
      <c r="E229" s="37"/>
      <c r="F229" s="37" t="s">
        <v>51</v>
      </c>
      <c r="G229" s="62"/>
      <c r="H229" s="43"/>
      <c r="I229" s="37"/>
      <c r="J229" s="42"/>
      <c r="K229" s="43" t="s">
        <v>95</v>
      </c>
      <c r="L229" s="44"/>
      <c r="M229" s="45" t="s">
        <v>0</v>
      </c>
      <c r="N229" s="45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9" t="str">
        <f t="shared" si="1"/>
        <v>-</v>
      </c>
      <c r="C230" s="61"/>
      <c r="D230" s="36" t="s">
        <v>49</v>
      </c>
      <c r="E230" s="37"/>
      <c r="F230" s="37" t="s">
        <v>51</v>
      </c>
      <c r="G230" s="62"/>
      <c r="H230" s="43"/>
      <c r="I230" s="37"/>
      <c r="J230" s="42"/>
      <c r="K230" s="43" t="s">
        <v>95</v>
      </c>
      <c r="L230" s="44"/>
      <c r="M230" s="45" t="s">
        <v>0</v>
      </c>
      <c r="N230" s="45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73"/>
      <c r="H231" s="22"/>
      <c r="I231" s="22"/>
      <c r="J231" s="22"/>
      <c r="K231" s="22"/>
      <c r="L231" s="74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73"/>
      <c r="H232" s="22"/>
      <c r="I232" s="22"/>
      <c r="J232" s="22"/>
      <c r="K232" s="22"/>
      <c r="L232" s="74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73"/>
      <c r="H233" s="22"/>
      <c r="I233" s="22"/>
      <c r="J233" s="22"/>
      <c r="K233" s="22"/>
      <c r="L233" s="74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73"/>
      <c r="H234" s="22"/>
      <c r="I234" s="22"/>
      <c r="J234" s="22"/>
      <c r="K234" s="22"/>
      <c r="L234" s="74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73"/>
      <c r="H235" s="22"/>
      <c r="I235" s="22"/>
      <c r="J235" s="22"/>
      <c r="K235" s="22"/>
      <c r="L235" s="74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73"/>
      <c r="H236" s="22"/>
      <c r="I236" s="22"/>
      <c r="J236" s="22"/>
      <c r="K236" s="22"/>
      <c r="L236" s="74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73"/>
      <c r="H237" s="22"/>
      <c r="I237" s="22"/>
      <c r="J237" s="22"/>
      <c r="K237" s="22"/>
      <c r="L237" s="74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73"/>
      <c r="H238" s="22"/>
      <c r="I238" s="22"/>
      <c r="J238" s="22"/>
      <c r="K238" s="22"/>
      <c r="L238" s="74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73"/>
      <c r="H239" s="22"/>
      <c r="I239" s="22"/>
      <c r="J239" s="22"/>
      <c r="K239" s="22"/>
      <c r="L239" s="74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73"/>
      <c r="H240" s="22"/>
      <c r="I240" s="22"/>
      <c r="J240" s="22"/>
      <c r="K240" s="22"/>
      <c r="L240" s="74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73"/>
      <c r="H241" s="22"/>
      <c r="I241" s="22"/>
      <c r="J241" s="22"/>
      <c r="K241" s="22"/>
      <c r="L241" s="74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73"/>
      <c r="H242" s="22"/>
      <c r="I242" s="22"/>
      <c r="J242" s="22"/>
      <c r="K242" s="22"/>
      <c r="L242" s="74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73"/>
      <c r="H243" s="22"/>
      <c r="I243" s="22"/>
      <c r="J243" s="22"/>
      <c r="K243" s="22"/>
      <c r="L243" s="74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73"/>
      <c r="H244" s="22"/>
      <c r="I244" s="22"/>
      <c r="J244" s="22"/>
      <c r="K244" s="22"/>
      <c r="L244" s="74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73"/>
      <c r="H245" s="22"/>
      <c r="I245" s="22"/>
      <c r="J245" s="22"/>
      <c r="K245" s="22"/>
      <c r="L245" s="74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73"/>
      <c r="H246" s="22"/>
      <c r="I246" s="22"/>
      <c r="J246" s="22"/>
      <c r="K246" s="22"/>
      <c r="L246" s="74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73"/>
      <c r="H247" s="22"/>
      <c r="I247" s="22"/>
      <c r="J247" s="22"/>
      <c r="K247" s="22"/>
      <c r="L247" s="74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73"/>
      <c r="H248" s="22"/>
      <c r="I248" s="22"/>
      <c r="J248" s="22"/>
      <c r="K248" s="22"/>
      <c r="L248" s="74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73"/>
      <c r="H249" s="22"/>
      <c r="I249" s="22"/>
      <c r="J249" s="22"/>
      <c r="K249" s="22"/>
      <c r="L249" s="74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73"/>
      <c r="H250" s="22"/>
      <c r="I250" s="22"/>
      <c r="J250" s="22"/>
      <c r="K250" s="22"/>
      <c r="L250" s="74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73"/>
      <c r="H251" s="22"/>
      <c r="I251" s="22"/>
      <c r="J251" s="22"/>
      <c r="K251" s="22"/>
      <c r="L251" s="74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73"/>
      <c r="H252" s="22"/>
      <c r="I252" s="22"/>
      <c r="J252" s="22"/>
      <c r="K252" s="22"/>
      <c r="L252" s="74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73"/>
      <c r="H253" s="22"/>
      <c r="I253" s="22"/>
      <c r="J253" s="22"/>
      <c r="K253" s="22"/>
      <c r="L253" s="74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73"/>
      <c r="H254" s="22"/>
      <c r="I254" s="22"/>
      <c r="J254" s="22"/>
      <c r="K254" s="22"/>
      <c r="L254" s="74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73"/>
      <c r="H255" s="22"/>
      <c r="I255" s="22"/>
      <c r="J255" s="22"/>
      <c r="K255" s="22"/>
      <c r="L255" s="74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73"/>
      <c r="H256" s="22"/>
      <c r="I256" s="22"/>
      <c r="J256" s="22"/>
      <c r="K256" s="22"/>
      <c r="L256" s="74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73"/>
      <c r="H257" s="22"/>
      <c r="I257" s="22"/>
      <c r="J257" s="22"/>
      <c r="K257" s="22"/>
      <c r="L257" s="74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73"/>
      <c r="H258" s="22"/>
      <c r="I258" s="22"/>
      <c r="J258" s="22"/>
      <c r="K258" s="22"/>
      <c r="L258" s="74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73"/>
      <c r="H259" s="22"/>
      <c r="I259" s="22"/>
      <c r="J259" s="22"/>
      <c r="K259" s="22"/>
      <c r="L259" s="74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73"/>
      <c r="H260" s="22"/>
      <c r="I260" s="22"/>
      <c r="J260" s="22"/>
      <c r="K260" s="22"/>
      <c r="L260" s="74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73"/>
      <c r="H261" s="22"/>
      <c r="I261" s="22"/>
      <c r="J261" s="22"/>
      <c r="K261" s="22"/>
      <c r="L261" s="74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73"/>
      <c r="H262" s="22"/>
      <c r="I262" s="22"/>
      <c r="J262" s="22"/>
      <c r="K262" s="22"/>
      <c r="L262" s="74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73"/>
      <c r="H263" s="22"/>
      <c r="I263" s="22"/>
      <c r="J263" s="22"/>
      <c r="K263" s="22"/>
      <c r="L263" s="74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73"/>
      <c r="H264" s="22"/>
      <c r="I264" s="22"/>
      <c r="J264" s="22"/>
      <c r="K264" s="22"/>
      <c r="L264" s="74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73"/>
      <c r="H265" s="22"/>
      <c r="I265" s="22"/>
      <c r="J265" s="22"/>
      <c r="K265" s="22"/>
      <c r="L265" s="74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73"/>
      <c r="H266" s="22"/>
      <c r="I266" s="22"/>
      <c r="J266" s="22"/>
      <c r="K266" s="22"/>
      <c r="L266" s="74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73"/>
      <c r="H267" s="22"/>
      <c r="I267" s="22"/>
      <c r="J267" s="22"/>
      <c r="K267" s="22"/>
      <c r="L267" s="74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73"/>
      <c r="H268" s="22"/>
      <c r="I268" s="22"/>
      <c r="J268" s="22"/>
      <c r="K268" s="22"/>
      <c r="L268" s="74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73"/>
      <c r="H269" s="22"/>
      <c r="I269" s="22"/>
      <c r="J269" s="22"/>
      <c r="K269" s="22"/>
      <c r="L269" s="74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73"/>
      <c r="H270" s="22"/>
      <c r="I270" s="22"/>
      <c r="J270" s="22"/>
      <c r="K270" s="22"/>
      <c r="L270" s="74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73"/>
      <c r="H271" s="22"/>
      <c r="I271" s="22"/>
      <c r="J271" s="22"/>
      <c r="K271" s="22"/>
      <c r="L271" s="74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73"/>
      <c r="H272" s="22"/>
      <c r="I272" s="22"/>
      <c r="J272" s="22"/>
      <c r="K272" s="22"/>
      <c r="L272" s="74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73"/>
      <c r="H273" s="22"/>
      <c r="I273" s="22"/>
      <c r="J273" s="22"/>
      <c r="K273" s="22"/>
      <c r="L273" s="74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73"/>
      <c r="H274" s="22"/>
      <c r="I274" s="22"/>
      <c r="J274" s="22"/>
      <c r="K274" s="22"/>
      <c r="L274" s="74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73"/>
      <c r="H275" s="22"/>
      <c r="I275" s="22"/>
      <c r="J275" s="22"/>
      <c r="K275" s="22"/>
      <c r="L275" s="74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73"/>
      <c r="H276" s="22"/>
      <c r="I276" s="22"/>
      <c r="J276" s="22"/>
      <c r="K276" s="22"/>
      <c r="L276" s="74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73"/>
      <c r="H277" s="22"/>
      <c r="I277" s="22"/>
      <c r="J277" s="22"/>
      <c r="K277" s="22"/>
      <c r="L277" s="74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73"/>
      <c r="H278" s="22"/>
      <c r="I278" s="22"/>
      <c r="J278" s="22"/>
      <c r="K278" s="22"/>
      <c r="L278" s="74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73"/>
      <c r="H279" s="22"/>
      <c r="I279" s="22"/>
      <c r="J279" s="22"/>
      <c r="K279" s="22"/>
      <c r="L279" s="74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73"/>
      <c r="H280" s="22"/>
      <c r="I280" s="22"/>
      <c r="J280" s="22"/>
      <c r="K280" s="22"/>
      <c r="L280" s="74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73"/>
      <c r="H281" s="22"/>
      <c r="I281" s="22"/>
      <c r="J281" s="22"/>
      <c r="K281" s="22"/>
      <c r="L281" s="74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73"/>
      <c r="H282" s="22"/>
      <c r="I282" s="22"/>
      <c r="J282" s="22"/>
      <c r="K282" s="22"/>
      <c r="L282" s="74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73"/>
      <c r="H283" s="22"/>
      <c r="I283" s="22"/>
      <c r="J283" s="22"/>
      <c r="K283" s="22"/>
      <c r="L283" s="74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73"/>
      <c r="H284" s="22"/>
      <c r="I284" s="22"/>
      <c r="J284" s="22"/>
      <c r="K284" s="22"/>
      <c r="L284" s="74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73"/>
      <c r="H285" s="22"/>
      <c r="I285" s="22"/>
      <c r="J285" s="22"/>
      <c r="K285" s="22"/>
      <c r="L285" s="74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73"/>
      <c r="H286" s="22"/>
      <c r="I286" s="22"/>
      <c r="J286" s="22"/>
      <c r="K286" s="22"/>
      <c r="L286" s="74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73"/>
      <c r="H287" s="22"/>
      <c r="I287" s="22"/>
      <c r="J287" s="22"/>
      <c r="K287" s="22"/>
      <c r="L287" s="74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73"/>
      <c r="H288" s="22"/>
      <c r="I288" s="22"/>
      <c r="J288" s="22"/>
      <c r="K288" s="22"/>
      <c r="L288" s="74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73"/>
      <c r="H289" s="22"/>
      <c r="I289" s="22"/>
      <c r="J289" s="22"/>
      <c r="K289" s="22"/>
      <c r="L289" s="74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73"/>
      <c r="H290" s="22"/>
      <c r="I290" s="22"/>
      <c r="J290" s="22"/>
      <c r="K290" s="22"/>
      <c r="L290" s="74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73"/>
      <c r="H291" s="22"/>
      <c r="I291" s="22"/>
      <c r="J291" s="22"/>
      <c r="K291" s="22"/>
      <c r="L291" s="74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73"/>
      <c r="H292" s="22"/>
      <c r="I292" s="22"/>
      <c r="J292" s="22"/>
      <c r="K292" s="22"/>
      <c r="L292" s="74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73"/>
      <c r="H293" s="22"/>
      <c r="I293" s="22"/>
      <c r="J293" s="22"/>
      <c r="K293" s="22"/>
      <c r="L293" s="74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73"/>
      <c r="H294" s="22"/>
      <c r="I294" s="22"/>
      <c r="J294" s="22"/>
      <c r="K294" s="22"/>
      <c r="L294" s="74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73"/>
      <c r="H295" s="22"/>
      <c r="I295" s="22"/>
      <c r="J295" s="22"/>
      <c r="K295" s="22"/>
      <c r="L295" s="74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73"/>
      <c r="H296" s="22"/>
      <c r="I296" s="22"/>
      <c r="J296" s="22"/>
      <c r="K296" s="22"/>
      <c r="L296" s="74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73"/>
      <c r="H297" s="22"/>
      <c r="I297" s="22"/>
      <c r="J297" s="22"/>
      <c r="K297" s="22"/>
      <c r="L297" s="74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73"/>
      <c r="H298" s="22"/>
      <c r="I298" s="22"/>
      <c r="J298" s="22"/>
      <c r="K298" s="22"/>
      <c r="L298" s="74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73"/>
      <c r="H299" s="22"/>
      <c r="I299" s="22"/>
      <c r="J299" s="22"/>
      <c r="K299" s="22"/>
      <c r="L299" s="74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73"/>
      <c r="H300" s="22"/>
      <c r="I300" s="22"/>
      <c r="J300" s="22"/>
      <c r="K300" s="22"/>
      <c r="L300" s="74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73"/>
      <c r="H301" s="22"/>
      <c r="I301" s="22"/>
      <c r="J301" s="22"/>
      <c r="K301" s="22"/>
      <c r="L301" s="74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73"/>
      <c r="H302" s="22"/>
      <c r="I302" s="22"/>
      <c r="J302" s="22"/>
      <c r="K302" s="22"/>
      <c r="L302" s="74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73"/>
      <c r="H303" s="22"/>
      <c r="I303" s="22"/>
      <c r="J303" s="22"/>
      <c r="K303" s="22"/>
      <c r="L303" s="74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73"/>
      <c r="H304" s="22"/>
      <c r="I304" s="22"/>
      <c r="J304" s="22"/>
      <c r="K304" s="22"/>
      <c r="L304" s="74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73"/>
      <c r="H305" s="22"/>
      <c r="I305" s="22"/>
      <c r="J305" s="22"/>
      <c r="K305" s="22"/>
      <c r="L305" s="74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73"/>
      <c r="H306" s="22"/>
      <c r="I306" s="22"/>
      <c r="J306" s="22"/>
      <c r="K306" s="22"/>
      <c r="L306" s="74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73"/>
      <c r="H307" s="22"/>
      <c r="I307" s="22"/>
      <c r="J307" s="22"/>
      <c r="K307" s="22"/>
      <c r="L307" s="74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73"/>
      <c r="H308" s="22"/>
      <c r="I308" s="22"/>
      <c r="J308" s="22"/>
      <c r="K308" s="22"/>
      <c r="L308" s="74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73"/>
      <c r="H309" s="22"/>
      <c r="I309" s="22"/>
      <c r="J309" s="22"/>
      <c r="K309" s="22"/>
      <c r="L309" s="74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73"/>
      <c r="H310" s="22"/>
      <c r="I310" s="22"/>
      <c r="J310" s="22"/>
      <c r="K310" s="22"/>
      <c r="L310" s="74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73"/>
      <c r="H311" s="22"/>
      <c r="I311" s="22"/>
      <c r="J311" s="22"/>
      <c r="K311" s="22"/>
      <c r="L311" s="74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73"/>
      <c r="H312" s="22"/>
      <c r="I312" s="22"/>
      <c r="J312" s="22"/>
      <c r="K312" s="22"/>
      <c r="L312" s="74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73"/>
      <c r="H313" s="22"/>
      <c r="I313" s="22"/>
      <c r="J313" s="22"/>
      <c r="K313" s="22"/>
      <c r="L313" s="74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73"/>
      <c r="H314" s="22"/>
      <c r="I314" s="22"/>
      <c r="J314" s="22"/>
      <c r="K314" s="22"/>
      <c r="L314" s="74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73"/>
      <c r="H315" s="22"/>
      <c r="I315" s="22"/>
      <c r="J315" s="22"/>
      <c r="K315" s="22"/>
      <c r="L315" s="74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73"/>
      <c r="H316" s="22"/>
      <c r="I316" s="22"/>
      <c r="J316" s="22"/>
      <c r="K316" s="22"/>
      <c r="L316" s="74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73"/>
      <c r="H317" s="22"/>
      <c r="I317" s="22"/>
      <c r="J317" s="22"/>
      <c r="K317" s="22"/>
      <c r="L317" s="74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73"/>
      <c r="H318" s="22"/>
      <c r="I318" s="22"/>
      <c r="J318" s="22"/>
      <c r="K318" s="22"/>
      <c r="L318" s="74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73"/>
      <c r="H319" s="22"/>
      <c r="I319" s="22"/>
      <c r="J319" s="22"/>
      <c r="K319" s="22"/>
      <c r="L319" s="74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73"/>
      <c r="H320" s="22"/>
      <c r="I320" s="22"/>
      <c r="J320" s="22"/>
      <c r="K320" s="22"/>
      <c r="L320" s="74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73"/>
      <c r="H321" s="22"/>
      <c r="I321" s="22"/>
      <c r="J321" s="22"/>
      <c r="K321" s="22"/>
      <c r="L321" s="74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73"/>
      <c r="H322" s="22"/>
      <c r="I322" s="22"/>
      <c r="J322" s="22"/>
      <c r="K322" s="22"/>
      <c r="L322" s="74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73"/>
      <c r="H323" s="22"/>
      <c r="I323" s="22"/>
      <c r="J323" s="22"/>
      <c r="K323" s="22"/>
      <c r="L323" s="74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73"/>
      <c r="H324" s="22"/>
      <c r="I324" s="22"/>
      <c r="J324" s="22"/>
      <c r="K324" s="22"/>
      <c r="L324" s="74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73"/>
      <c r="H325" s="22"/>
      <c r="I325" s="22"/>
      <c r="J325" s="22"/>
      <c r="K325" s="22"/>
      <c r="L325" s="74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73"/>
      <c r="H326" s="22"/>
      <c r="I326" s="22"/>
      <c r="J326" s="22"/>
      <c r="K326" s="22"/>
      <c r="L326" s="74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73"/>
      <c r="H327" s="22"/>
      <c r="I327" s="22"/>
      <c r="J327" s="22"/>
      <c r="K327" s="22"/>
      <c r="L327" s="74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73"/>
      <c r="H328" s="22"/>
      <c r="I328" s="22"/>
      <c r="J328" s="22"/>
      <c r="K328" s="22"/>
      <c r="L328" s="74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73"/>
      <c r="H329" s="22"/>
      <c r="I329" s="22"/>
      <c r="J329" s="22"/>
      <c r="K329" s="22"/>
      <c r="L329" s="74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73"/>
      <c r="H330" s="22"/>
      <c r="I330" s="22"/>
      <c r="J330" s="22"/>
      <c r="K330" s="22"/>
      <c r="L330" s="74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73"/>
      <c r="H331" s="22"/>
      <c r="I331" s="22"/>
      <c r="J331" s="22"/>
      <c r="K331" s="22"/>
      <c r="L331" s="74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73"/>
      <c r="H332" s="22"/>
      <c r="I332" s="22"/>
      <c r="J332" s="22"/>
      <c r="K332" s="22"/>
      <c r="L332" s="74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73"/>
      <c r="H333" s="22"/>
      <c r="I333" s="22"/>
      <c r="J333" s="22"/>
      <c r="K333" s="22"/>
      <c r="L333" s="74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73"/>
      <c r="H334" s="22"/>
      <c r="I334" s="22"/>
      <c r="J334" s="22"/>
      <c r="K334" s="22"/>
      <c r="L334" s="74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73"/>
      <c r="H335" s="22"/>
      <c r="I335" s="22"/>
      <c r="J335" s="22"/>
      <c r="K335" s="22"/>
      <c r="L335" s="74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73"/>
      <c r="H336" s="22"/>
      <c r="I336" s="22"/>
      <c r="J336" s="22"/>
      <c r="K336" s="22"/>
      <c r="L336" s="74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73"/>
      <c r="H337" s="22"/>
      <c r="I337" s="22"/>
      <c r="J337" s="22"/>
      <c r="K337" s="22"/>
      <c r="L337" s="74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73"/>
      <c r="H338" s="22"/>
      <c r="I338" s="22"/>
      <c r="J338" s="22"/>
      <c r="K338" s="22"/>
      <c r="L338" s="74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73"/>
      <c r="H339" s="22"/>
      <c r="I339" s="22"/>
      <c r="J339" s="22"/>
      <c r="K339" s="22"/>
      <c r="L339" s="74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73"/>
      <c r="H340" s="22"/>
      <c r="I340" s="22"/>
      <c r="J340" s="22"/>
      <c r="K340" s="22"/>
      <c r="L340" s="74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73"/>
      <c r="H341" s="22"/>
      <c r="I341" s="22"/>
      <c r="J341" s="22"/>
      <c r="K341" s="22"/>
      <c r="L341" s="74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73"/>
      <c r="H342" s="22"/>
      <c r="I342" s="22"/>
      <c r="J342" s="22"/>
      <c r="K342" s="22"/>
      <c r="L342" s="74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73"/>
      <c r="H343" s="22"/>
      <c r="I343" s="22"/>
      <c r="J343" s="22"/>
      <c r="K343" s="22"/>
      <c r="L343" s="74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73"/>
      <c r="H344" s="22"/>
      <c r="I344" s="22"/>
      <c r="J344" s="22"/>
      <c r="K344" s="22"/>
      <c r="L344" s="74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73"/>
      <c r="H345" s="22"/>
      <c r="I345" s="22"/>
      <c r="J345" s="22"/>
      <c r="K345" s="22"/>
      <c r="L345" s="74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73"/>
      <c r="H346" s="22"/>
      <c r="I346" s="22"/>
      <c r="J346" s="22"/>
      <c r="K346" s="22"/>
      <c r="L346" s="74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73"/>
      <c r="H347" s="22"/>
      <c r="I347" s="22"/>
      <c r="J347" s="22"/>
      <c r="K347" s="22"/>
      <c r="L347" s="74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73"/>
      <c r="H348" s="22"/>
      <c r="I348" s="22"/>
      <c r="J348" s="22"/>
      <c r="K348" s="22"/>
      <c r="L348" s="74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73"/>
      <c r="H349" s="22"/>
      <c r="I349" s="22"/>
      <c r="J349" s="22"/>
      <c r="K349" s="22"/>
      <c r="L349" s="74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73"/>
      <c r="H350" s="22"/>
      <c r="I350" s="22"/>
      <c r="J350" s="22"/>
      <c r="K350" s="22"/>
      <c r="L350" s="74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73"/>
      <c r="H351" s="22"/>
      <c r="I351" s="22"/>
      <c r="J351" s="22"/>
      <c r="K351" s="22"/>
      <c r="L351" s="74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73"/>
      <c r="H352" s="22"/>
      <c r="I352" s="22"/>
      <c r="J352" s="22"/>
      <c r="K352" s="22"/>
      <c r="L352" s="74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73"/>
      <c r="H353" s="22"/>
      <c r="I353" s="22"/>
      <c r="J353" s="22"/>
      <c r="K353" s="22"/>
      <c r="L353" s="74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73"/>
      <c r="H354" s="22"/>
      <c r="I354" s="22"/>
      <c r="J354" s="22"/>
      <c r="K354" s="22"/>
      <c r="L354" s="74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73"/>
      <c r="H355" s="22"/>
      <c r="I355" s="22"/>
      <c r="J355" s="22"/>
      <c r="K355" s="22"/>
      <c r="L355" s="74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73"/>
      <c r="H356" s="22"/>
      <c r="I356" s="22"/>
      <c r="J356" s="22"/>
      <c r="K356" s="22"/>
      <c r="L356" s="74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73"/>
      <c r="H357" s="22"/>
      <c r="I357" s="22"/>
      <c r="J357" s="22"/>
      <c r="K357" s="22"/>
      <c r="L357" s="74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73"/>
      <c r="H358" s="22"/>
      <c r="I358" s="22"/>
      <c r="J358" s="22"/>
      <c r="K358" s="22"/>
      <c r="L358" s="74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73"/>
      <c r="H359" s="22"/>
      <c r="I359" s="22"/>
      <c r="J359" s="22"/>
      <c r="K359" s="22"/>
      <c r="L359" s="74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73"/>
      <c r="H360" s="22"/>
      <c r="I360" s="22"/>
      <c r="J360" s="22"/>
      <c r="K360" s="22"/>
      <c r="L360" s="74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73"/>
      <c r="H361" s="22"/>
      <c r="I361" s="22"/>
      <c r="J361" s="22"/>
      <c r="K361" s="22"/>
      <c r="L361" s="74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73"/>
      <c r="H362" s="22"/>
      <c r="I362" s="22"/>
      <c r="J362" s="22"/>
      <c r="K362" s="22"/>
      <c r="L362" s="74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73"/>
      <c r="H363" s="22"/>
      <c r="I363" s="22"/>
      <c r="J363" s="22"/>
      <c r="K363" s="22"/>
      <c r="L363" s="74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73"/>
      <c r="H364" s="22"/>
      <c r="I364" s="22"/>
      <c r="J364" s="22"/>
      <c r="K364" s="22"/>
      <c r="L364" s="74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73"/>
      <c r="H365" s="22"/>
      <c r="I365" s="22"/>
      <c r="J365" s="22"/>
      <c r="K365" s="22"/>
      <c r="L365" s="74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73"/>
      <c r="H366" s="22"/>
      <c r="I366" s="22"/>
      <c r="J366" s="22"/>
      <c r="K366" s="22"/>
      <c r="L366" s="74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73"/>
      <c r="H367" s="22"/>
      <c r="I367" s="22"/>
      <c r="J367" s="22"/>
      <c r="K367" s="22"/>
      <c r="L367" s="74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73"/>
      <c r="H368" s="22"/>
      <c r="I368" s="22"/>
      <c r="J368" s="22"/>
      <c r="K368" s="22"/>
      <c r="L368" s="74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73"/>
      <c r="H369" s="22"/>
      <c r="I369" s="22"/>
      <c r="J369" s="22"/>
      <c r="K369" s="22"/>
      <c r="L369" s="74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73"/>
      <c r="H370" s="22"/>
      <c r="I370" s="22"/>
      <c r="J370" s="22"/>
      <c r="K370" s="22"/>
      <c r="L370" s="74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73"/>
      <c r="H371" s="22"/>
      <c r="I371" s="22"/>
      <c r="J371" s="22"/>
      <c r="K371" s="22"/>
      <c r="L371" s="74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73"/>
      <c r="H372" s="22"/>
      <c r="I372" s="22"/>
      <c r="J372" s="22"/>
      <c r="K372" s="22"/>
      <c r="L372" s="74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73"/>
      <c r="H373" s="22"/>
      <c r="I373" s="22"/>
      <c r="J373" s="22"/>
      <c r="K373" s="22"/>
      <c r="L373" s="74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73"/>
      <c r="H374" s="22"/>
      <c r="I374" s="22"/>
      <c r="J374" s="22"/>
      <c r="K374" s="22"/>
      <c r="L374" s="74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73"/>
      <c r="H375" s="22"/>
      <c r="I375" s="22"/>
      <c r="J375" s="22"/>
      <c r="K375" s="22"/>
      <c r="L375" s="74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73"/>
      <c r="H376" s="22"/>
      <c r="I376" s="22"/>
      <c r="J376" s="22"/>
      <c r="K376" s="22"/>
      <c r="L376" s="74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73"/>
      <c r="H377" s="22"/>
      <c r="I377" s="22"/>
      <c r="J377" s="22"/>
      <c r="K377" s="22"/>
      <c r="L377" s="74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73"/>
      <c r="H378" s="22"/>
      <c r="I378" s="22"/>
      <c r="J378" s="22"/>
      <c r="K378" s="22"/>
      <c r="L378" s="74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73"/>
      <c r="H379" s="22"/>
      <c r="I379" s="22"/>
      <c r="J379" s="22"/>
      <c r="K379" s="22"/>
      <c r="L379" s="74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73"/>
      <c r="H380" s="22"/>
      <c r="I380" s="22"/>
      <c r="J380" s="22"/>
      <c r="K380" s="22"/>
      <c r="L380" s="74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73"/>
      <c r="H381" s="22"/>
      <c r="I381" s="22"/>
      <c r="J381" s="22"/>
      <c r="K381" s="22"/>
      <c r="L381" s="74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73"/>
      <c r="H382" s="22"/>
      <c r="I382" s="22"/>
      <c r="J382" s="22"/>
      <c r="K382" s="22"/>
      <c r="L382" s="74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73"/>
      <c r="H383" s="22"/>
      <c r="I383" s="22"/>
      <c r="J383" s="22"/>
      <c r="K383" s="22"/>
      <c r="L383" s="74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73"/>
      <c r="H384" s="22"/>
      <c r="I384" s="22"/>
      <c r="J384" s="22"/>
      <c r="K384" s="22"/>
      <c r="L384" s="74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73"/>
      <c r="H385" s="22"/>
      <c r="I385" s="22"/>
      <c r="J385" s="22"/>
      <c r="K385" s="22"/>
      <c r="L385" s="74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73"/>
      <c r="H386" s="22"/>
      <c r="I386" s="22"/>
      <c r="J386" s="22"/>
      <c r="K386" s="22"/>
      <c r="L386" s="74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73"/>
      <c r="H387" s="22"/>
      <c r="I387" s="22"/>
      <c r="J387" s="22"/>
      <c r="K387" s="22"/>
      <c r="L387" s="74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73"/>
      <c r="H388" s="22"/>
      <c r="I388" s="22"/>
      <c r="J388" s="22"/>
      <c r="K388" s="22"/>
      <c r="L388" s="74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73"/>
      <c r="H389" s="22"/>
      <c r="I389" s="22"/>
      <c r="J389" s="22"/>
      <c r="K389" s="22"/>
      <c r="L389" s="74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73"/>
      <c r="H390" s="22"/>
      <c r="I390" s="22"/>
      <c r="J390" s="22"/>
      <c r="K390" s="22"/>
      <c r="L390" s="74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73"/>
      <c r="H391" s="22"/>
      <c r="I391" s="22"/>
      <c r="J391" s="22"/>
      <c r="K391" s="22"/>
      <c r="L391" s="74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73"/>
      <c r="H392" s="22"/>
      <c r="I392" s="22"/>
      <c r="J392" s="22"/>
      <c r="K392" s="22"/>
      <c r="L392" s="74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73"/>
      <c r="H393" s="22"/>
      <c r="I393" s="22"/>
      <c r="J393" s="22"/>
      <c r="K393" s="22"/>
      <c r="L393" s="74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73"/>
      <c r="H394" s="22"/>
      <c r="I394" s="22"/>
      <c r="J394" s="22"/>
      <c r="K394" s="22"/>
      <c r="L394" s="74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73"/>
      <c r="H395" s="22"/>
      <c r="I395" s="22"/>
      <c r="J395" s="22"/>
      <c r="K395" s="22"/>
      <c r="L395" s="74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73"/>
      <c r="H396" s="22"/>
      <c r="I396" s="22"/>
      <c r="J396" s="22"/>
      <c r="K396" s="22"/>
      <c r="L396" s="74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73"/>
      <c r="H397" s="22"/>
      <c r="I397" s="22"/>
      <c r="J397" s="22"/>
      <c r="K397" s="22"/>
      <c r="L397" s="74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73"/>
      <c r="H398" s="22"/>
      <c r="I398" s="22"/>
      <c r="J398" s="22"/>
      <c r="K398" s="22"/>
      <c r="L398" s="74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73"/>
      <c r="H399" s="22"/>
      <c r="I399" s="22"/>
      <c r="J399" s="22"/>
      <c r="K399" s="22"/>
      <c r="L399" s="74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73"/>
      <c r="H400" s="22"/>
      <c r="I400" s="22"/>
      <c r="J400" s="22"/>
      <c r="K400" s="22"/>
      <c r="L400" s="74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73"/>
      <c r="H401" s="22"/>
      <c r="I401" s="22"/>
      <c r="J401" s="22"/>
      <c r="K401" s="22"/>
      <c r="L401" s="74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73"/>
      <c r="H402" s="22"/>
      <c r="I402" s="22"/>
      <c r="J402" s="22"/>
      <c r="K402" s="22"/>
      <c r="L402" s="74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73"/>
      <c r="H403" s="22"/>
      <c r="I403" s="22"/>
      <c r="J403" s="22"/>
      <c r="K403" s="22"/>
      <c r="L403" s="74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73"/>
      <c r="H404" s="22"/>
      <c r="I404" s="22"/>
      <c r="J404" s="22"/>
      <c r="K404" s="22"/>
      <c r="L404" s="74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73"/>
      <c r="H405" s="22"/>
      <c r="I405" s="22"/>
      <c r="J405" s="22"/>
      <c r="K405" s="22"/>
      <c r="L405" s="74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73"/>
      <c r="H406" s="22"/>
      <c r="I406" s="22"/>
      <c r="J406" s="22"/>
      <c r="K406" s="22"/>
      <c r="L406" s="74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73"/>
      <c r="H407" s="22"/>
      <c r="I407" s="22"/>
      <c r="J407" s="22"/>
      <c r="K407" s="22"/>
      <c r="L407" s="74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73"/>
      <c r="H408" s="22"/>
      <c r="I408" s="22"/>
      <c r="J408" s="22"/>
      <c r="K408" s="22"/>
      <c r="L408" s="74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73"/>
      <c r="H409" s="22"/>
      <c r="I409" s="22"/>
      <c r="J409" s="22"/>
      <c r="K409" s="22"/>
      <c r="L409" s="74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73"/>
      <c r="H410" s="22"/>
      <c r="I410" s="22"/>
      <c r="J410" s="22"/>
      <c r="K410" s="22"/>
      <c r="L410" s="74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73"/>
      <c r="H411" s="22"/>
      <c r="I411" s="22"/>
      <c r="J411" s="22"/>
      <c r="K411" s="22"/>
      <c r="L411" s="74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73"/>
      <c r="H412" s="22"/>
      <c r="I412" s="22"/>
      <c r="J412" s="22"/>
      <c r="K412" s="22"/>
      <c r="L412" s="74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73"/>
      <c r="H413" s="22"/>
      <c r="I413" s="22"/>
      <c r="J413" s="22"/>
      <c r="K413" s="22"/>
      <c r="L413" s="74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73"/>
      <c r="H414" s="22"/>
      <c r="I414" s="22"/>
      <c r="J414" s="22"/>
      <c r="K414" s="22"/>
      <c r="L414" s="74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73"/>
      <c r="H415" s="22"/>
      <c r="I415" s="22"/>
      <c r="J415" s="22"/>
      <c r="K415" s="22"/>
      <c r="L415" s="74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73"/>
      <c r="H416" s="22"/>
      <c r="I416" s="22"/>
      <c r="J416" s="22"/>
      <c r="K416" s="22"/>
      <c r="L416" s="74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73"/>
      <c r="H417" s="22"/>
      <c r="I417" s="22"/>
      <c r="J417" s="22"/>
      <c r="K417" s="22"/>
      <c r="L417" s="74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73"/>
      <c r="H418" s="22"/>
      <c r="I418" s="22"/>
      <c r="J418" s="22"/>
      <c r="K418" s="22"/>
      <c r="L418" s="74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73"/>
      <c r="H419" s="22"/>
      <c r="I419" s="22"/>
      <c r="J419" s="22"/>
      <c r="K419" s="22"/>
      <c r="L419" s="74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73"/>
      <c r="H420" s="22"/>
      <c r="I420" s="22"/>
      <c r="J420" s="22"/>
      <c r="K420" s="22"/>
      <c r="L420" s="74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73"/>
      <c r="H421" s="22"/>
      <c r="I421" s="22"/>
      <c r="J421" s="22"/>
      <c r="K421" s="22"/>
      <c r="L421" s="74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73"/>
      <c r="H422" s="22"/>
      <c r="I422" s="22"/>
      <c r="J422" s="22"/>
      <c r="K422" s="22"/>
      <c r="L422" s="74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73"/>
      <c r="H423" s="22"/>
      <c r="I423" s="22"/>
      <c r="J423" s="22"/>
      <c r="K423" s="22"/>
      <c r="L423" s="74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73"/>
      <c r="H424" s="22"/>
      <c r="I424" s="22"/>
      <c r="J424" s="22"/>
      <c r="K424" s="22"/>
      <c r="L424" s="74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73"/>
      <c r="H425" s="22"/>
      <c r="I425" s="22"/>
      <c r="J425" s="22"/>
      <c r="K425" s="22"/>
      <c r="L425" s="74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73"/>
      <c r="H426" s="22"/>
      <c r="I426" s="22"/>
      <c r="J426" s="22"/>
      <c r="K426" s="22"/>
      <c r="L426" s="74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73"/>
      <c r="H427" s="22"/>
      <c r="I427" s="22"/>
      <c r="J427" s="22"/>
      <c r="K427" s="22"/>
      <c r="L427" s="74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73"/>
      <c r="H428" s="22"/>
      <c r="I428" s="22"/>
      <c r="J428" s="22"/>
      <c r="K428" s="22"/>
      <c r="L428" s="74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73"/>
      <c r="H429" s="22"/>
      <c r="I429" s="22"/>
      <c r="J429" s="22"/>
      <c r="K429" s="22"/>
      <c r="L429" s="74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73"/>
      <c r="H430" s="22"/>
      <c r="I430" s="22"/>
      <c r="J430" s="22"/>
      <c r="K430" s="22"/>
      <c r="L430" s="74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73"/>
      <c r="H431" s="22"/>
      <c r="I431" s="22"/>
      <c r="J431" s="22"/>
      <c r="K431" s="22"/>
      <c r="L431" s="74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73"/>
      <c r="H432" s="22"/>
      <c r="I432" s="22"/>
      <c r="J432" s="22"/>
      <c r="K432" s="22"/>
      <c r="L432" s="74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73"/>
      <c r="H433" s="22"/>
      <c r="I433" s="22"/>
      <c r="J433" s="22"/>
      <c r="K433" s="22"/>
      <c r="L433" s="74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73"/>
      <c r="H434" s="22"/>
      <c r="I434" s="22"/>
      <c r="J434" s="22"/>
      <c r="K434" s="22"/>
      <c r="L434" s="74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73"/>
      <c r="H435" s="22"/>
      <c r="I435" s="22"/>
      <c r="J435" s="22"/>
      <c r="K435" s="22"/>
      <c r="L435" s="74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73"/>
      <c r="H436" s="22"/>
      <c r="I436" s="22"/>
      <c r="J436" s="22"/>
      <c r="K436" s="22"/>
      <c r="L436" s="74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73"/>
      <c r="H437" s="22"/>
      <c r="I437" s="22"/>
      <c r="J437" s="22"/>
      <c r="K437" s="22"/>
      <c r="L437" s="74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73"/>
      <c r="H438" s="22"/>
      <c r="I438" s="22"/>
      <c r="J438" s="22"/>
      <c r="K438" s="22"/>
      <c r="L438" s="74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73"/>
      <c r="H439" s="22"/>
      <c r="I439" s="22"/>
      <c r="J439" s="22"/>
      <c r="K439" s="22"/>
      <c r="L439" s="74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73"/>
      <c r="H440" s="22"/>
      <c r="I440" s="22"/>
      <c r="J440" s="22"/>
      <c r="K440" s="22"/>
      <c r="L440" s="74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73"/>
      <c r="H441" s="22"/>
      <c r="I441" s="22"/>
      <c r="J441" s="22"/>
      <c r="K441" s="22"/>
      <c r="L441" s="74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73"/>
      <c r="H442" s="22"/>
      <c r="I442" s="22"/>
      <c r="J442" s="22"/>
      <c r="K442" s="22"/>
      <c r="L442" s="74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73"/>
      <c r="H443" s="22"/>
      <c r="I443" s="22"/>
      <c r="J443" s="22"/>
      <c r="K443" s="22"/>
      <c r="L443" s="74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73"/>
      <c r="H444" s="22"/>
      <c r="I444" s="22"/>
      <c r="J444" s="22"/>
      <c r="K444" s="22"/>
      <c r="L444" s="74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73"/>
      <c r="H445" s="22"/>
      <c r="I445" s="22"/>
      <c r="J445" s="22"/>
      <c r="K445" s="22"/>
      <c r="L445" s="74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73"/>
      <c r="H446" s="22"/>
      <c r="I446" s="22"/>
      <c r="J446" s="22"/>
      <c r="K446" s="22"/>
      <c r="L446" s="74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73"/>
      <c r="H447" s="22"/>
      <c r="I447" s="22"/>
      <c r="J447" s="22"/>
      <c r="K447" s="22"/>
      <c r="L447" s="74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73"/>
      <c r="H448" s="22"/>
      <c r="I448" s="22"/>
      <c r="J448" s="22"/>
      <c r="K448" s="22"/>
      <c r="L448" s="74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73"/>
      <c r="H449" s="22"/>
      <c r="I449" s="22"/>
      <c r="J449" s="22"/>
      <c r="K449" s="22"/>
      <c r="L449" s="74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73"/>
      <c r="H450" s="22"/>
      <c r="I450" s="22"/>
      <c r="J450" s="22"/>
      <c r="K450" s="22"/>
      <c r="L450" s="74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73"/>
      <c r="H451" s="22"/>
      <c r="I451" s="22"/>
      <c r="J451" s="22"/>
      <c r="K451" s="22"/>
      <c r="L451" s="74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73"/>
      <c r="H452" s="22"/>
      <c r="I452" s="22"/>
      <c r="J452" s="22"/>
      <c r="K452" s="22"/>
      <c r="L452" s="74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73"/>
      <c r="H453" s="22"/>
      <c r="I453" s="22"/>
      <c r="J453" s="22"/>
      <c r="K453" s="22"/>
      <c r="L453" s="74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73"/>
      <c r="H454" s="22"/>
      <c r="I454" s="22"/>
      <c r="J454" s="22"/>
      <c r="K454" s="22"/>
      <c r="L454" s="74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73"/>
      <c r="H455" s="22"/>
      <c r="I455" s="22"/>
      <c r="J455" s="22"/>
      <c r="K455" s="22"/>
      <c r="L455" s="74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73"/>
      <c r="H456" s="22"/>
      <c r="I456" s="22"/>
      <c r="J456" s="22"/>
      <c r="K456" s="22"/>
      <c r="L456" s="74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73"/>
      <c r="H457" s="22"/>
      <c r="I457" s="22"/>
      <c r="J457" s="22"/>
      <c r="K457" s="22"/>
      <c r="L457" s="74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73"/>
      <c r="H458" s="22"/>
      <c r="I458" s="22"/>
      <c r="J458" s="22"/>
      <c r="K458" s="22"/>
      <c r="L458" s="74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73"/>
      <c r="H459" s="22"/>
      <c r="I459" s="22"/>
      <c r="J459" s="22"/>
      <c r="K459" s="22"/>
      <c r="L459" s="74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73"/>
      <c r="H460" s="22"/>
      <c r="I460" s="22"/>
      <c r="J460" s="22"/>
      <c r="K460" s="22"/>
      <c r="L460" s="74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73"/>
      <c r="H461" s="22"/>
      <c r="I461" s="22"/>
      <c r="J461" s="22"/>
      <c r="K461" s="22"/>
      <c r="L461" s="74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73"/>
      <c r="H462" s="22"/>
      <c r="I462" s="22"/>
      <c r="J462" s="22"/>
      <c r="K462" s="22"/>
      <c r="L462" s="74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73"/>
      <c r="H463" s="22"/>
      <c r="I463" s="22"/>
      <c r="J463" s="22"/>
      <c r="K463" s="22"/>
      <c r="L463" s="74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73"/>
      <c r="H464" s="22"/>
      <c r="I464" s="22"/>
      <c r="J464" s="22"/>
      <c r="K464" s="22"/>
      <c r="L464" s="74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73"/>
      <c r="H465" s="22"/>
      <c r="I465" s="22"/>
      <c r="J465" s="22"/>
      <c r="K465" s="22"/>
      <c r="L465" s="74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73"/>
      <c r="H466" s="22"/>
      <c r="I466" s="22"/>
      <c r="J466" s="22"/>
      <c r="K466" s="22"/>
      <c r="L466" s="74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73"/>
      <c r="H467" s="22"/>
      <c r="I467" s="22"/>
      <c r="J467" s="22"/>
      <c r="K467" s="22"/>
      <c r="L467" s="74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73"/>
      <c r="H468" s="22"/>
      <c r="I468" s="22"/>
      <c r="J468" s="22"/>
      <c r="K468" s="22"/>
      <c r="L468" s="74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73"/>
      <c r="H469" s="22"/>
      <c r="I469" s="22"/>
      <c r="J469" s="22"/>
      <c r="K469" s="22"/>
      <c r="L469" s="74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73"/>
      <c r="H470" s="22"/>
      <c r="I470" s="22"/>
      <c r="J470" s="22"/>
      <c r="K470" s="22"/>
      <c r="L470" s="74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73"/>
      <c r="H471" s="22"/>
      <c r="I471" s="22"/>
      <c r="J471" s="22"/>
      <c r="K471" s="22"/>
      <c r="L471" s="74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73"/>
      <c r="H472" s="22"/>
      <c r="I472" s="22"/>
      <c r="J472" s="22"/>
      <c r="K472" s="22"/>
      <c r="L472" s="74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73"/>
      <c r="H473" s="22"/>
      <c r="I473" s="22"/>
      <c r="J473" s="22"/>
      <c r="K473" s="22"/>
      <c r="L473" s="74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73"/>
      <c r="H474" s="22"/>
      <c r="I474" s="22"/>
      <c r="J474" s="22"/>
      <c r="K474" s="22"/>
      <c r="L474" s="74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73"/>
      <c r="H475" s="22"/>
      <c r="I475" s="22"/>
      <c r="J475" s="22"/>
      <c r="K475" s="22"/>
      <c r="L475" s="74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73"/>
      <c r="H476" s="22"/>
      <c r="I476" s="22"/>
      <c r="J476" s="22"/>
      <c r="K476" s="22"/>
      <c r="L476" s="74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73"/>
      <c r="H477" s="22"/>
      <c r="I477" s="22"/>
      <c r="J477" s="22"/>
      <c r="K477" s="22"/>
      <c r="L477" s="74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73"/>
      <c r="H478" s="22"/>
      <c r="I478" s="22"/>
      <c r="J478" s="22"/>
      <c r="K478" s="22"/>
      <c r="L478" s="74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73"/>
      <c r="H479" s="22"/>
      <c r="I479" s="22"/>
      <c r="J479" s="22"/>
      <c r="K479" s="22"/>
      <c r="L479" s="74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73"/>
      <c r="H480" s="22"/>
      <c r="I480" s="22"/>
      <c r="J480" s="22"/>
      <c r="K480" s="22"/>
      <c r="L480" s="74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73"/>
      <c r="H481" s="22"/>
      <c r="I481" s="22"/>
      <c r="J481" s="22"/>
      <c r="K481" s="22"/>
      <c r="L481" s="74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73"/>
      <c r="H482" s="22"/>
      <c r="I482" s="22"/>
      <c r="J482" s="22"/>
      <c r="K482" s="22"/>
      <c r="L482" s="74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73"/>
      <c r="H483" s="22"/>
      <c r="I483" s="22"/>
      <c r="J483" s="22"/>
      <c r="K483" s="22"/>
      <c r="L483" s="74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73"/>
      <c r="H484" s="22"/>
      <c r="I484" s="22"/>
      <c r="J484" s="22"/>
      <c r="K484" s="22"/>
      <c r="L484" s="74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73"/>
      <c r="H485" s="22"/>
      <c r="I485" s="22"/>
      <c r="J485" s="22"/>
      <c r="K485" s="22"/>
      <c r="L485" s="74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73"/>
      <c r="H486" s="22"/>
      <c r="I486" s="22"/>
      <c r="J486" s="22"/>
      <c r="K486" s="22"/>
      <c r="L486" s="74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73"/>
      <c r="H487" s="22"/>
      <c r="I487" s="22"/>
      <c r="J487" s="22"/>
      <c r="K487" s="22"/>
      <c r="L487" s="74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73"/>
      <c r="H488" s="22"/>
      <c r="I488" s="22"/>
      <c r="J488" s="22"/>
      <c r="K488" s="22"/>
      <c r="L488" s="74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73"/>
      <c r="H489" s="22"/>
      <c r="I489" s="22"/>
      <c r="J489" s="22"/>
      <c r="K489" s="22"/>
      <c r="L489" s="74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73"/>
      <c r="H490" s="22"/>
      <c r="I490" s="22"/>
      <c r="J490" s="22"/>
      <c r="K490" s="22"/>
      <c r="L490" s="74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73"/>
      <c r="H491" s="22"/>
      <c r="I491" s="22"/>
      <c r="J491" s="22"/>
      <c r="K491" s="22"/>
      <c r="L491" s="74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73"/>
      <c r="H492" s="22"/>
      <c r="I492" s="22"/>
      <c r="J492" s="22"/>
      <c r="K492" s="22"/>
      <c r="L492" s="74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73"/>
      <c r="H493" s="22"/>
      <c r="I493" s="22"/>
      <c r="J493" s="22"/>
      <c r="K493" s="22"/>
      <c r="L493" s="74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73"/>
      <c r="H494" s="22"/>
      <c r="I494" s="22"/>
      <c r="J494" s="22"/>
      <c r="K494" s="22"/>
      <c r="L494" s="74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73"/>
      <c r="H495" s="22"/>
      <c r="I495" s="22"/>
      <c r="J495" s="22"/>
      <c r="K495" s="22"/>
      <c r="L495" s="74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73"/>
      <c r="H496" s="22"/>
      <c r="I496" s="22"/>
      <c r="J496" s="22"/>
      <c r="K496" s="22"/>
      <c r="L496" s="74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73"/>
      <c r="H497" s="22"/>
      <c r="I497" s="22"/>
      <c r="J497" s="22"/>
      <c r="K497" s="22"/>
      <c r="L497" s="74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73"/>
      <c r="H498" s="22"/>
      <c r="I498" s="22"/>
      <c r="J498" s="22"/>
      <c r="K498" s="22"/>
      <c r="L498" s="74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73"/>
      <c r="H499" s="22"/>
      <c r="I499" s="22"/>
      <c r="J499" s="22"/>
      <c r="K499" s="22"/>
      <c r="L499" s="74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73"/>
      <c r="H500" s="22"/>
      <c r="I500" s="22"/>
      <c r="J500" s="22"/>
      <c r="K500" s="22"/>
      <c r="L500" s="74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73"/>
      <c r="H501" s="22"/>
      <c r="I501" s="22"/>
      <c r="J501" s="22"/>
      <c r="K501" s="22"/>
      <c r="L501" s="74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73"/>
      <c r="H502" s="22"/>
      <c r="I502" s="22"/>
      <c r="J502" s="22"/>
      <c r="K502" s="22"/>
      <c r="L502" s="74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73"/>
      <c r="H503" s="22"/>
      <c r="I503" s="22"/>
      <c r="J503" s="22"/>
      <c r="K503" s="22"/>
      <c r="L503" s="74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73"/>
      <c r="H504" s="22"/>
      <c r="I504" s="22"/>
      <c r="J504" s="22"/>
      <c r="K504" s="22"/>
      <c r="L504" s="74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73"/>
      <c r="H505" s="22"/>
      <c r="I505" s="22"/>
      <c r="J505" s="22"/>
      <c r="K505" s="22"/>
      <c r="L505" s="74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73"/>
      <c r="H506" s="22"/>
      <c r="I506" s="22"/>
      <c r="J506" s="22"/>
      <c r="K506" s="22"/>
      <c r="L506" s="74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73"/>
      <c r="H507" s="22"/>
      <c r="I507" s="22"/>
      <c r="J507" s="22"/>
      <c r="K507" s="22"/>
      <c r="L507" s="74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73"/>
      <c r="H508" s="22"/>
      <c r="I508" s="22"/>
      <c r="J508" s="22"/>
      <c r="K508" s="22"/>
      <c r="L508" s="74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73"/>
      <c r="H509" s="22"/>
      <c r="I509" s="22"/>
      <c r="J509" s="22"/>
      <c r="K509" s="22"/>
      <c r="L509" s="74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73"/>
      <c r="H510" s="22"/>
      <c r="I510" s="22"/>
      <c r="J510" s="22"/>
      <c r="K510" s="22"/>
      <c r="L510" s="74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73"/>
      <c r="H511" s="22"/>
      <c r="I511" s="22"/>
      <c r="J511" s="22"/>
      <c r="K511" s="22"/>
      <c r="L511" s="74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73"/>
      <c r="H512" s="22"/>
      <c r="I512" s="22"/>
      <c r="J512" s="22"/>
      <c r="K512" s="22"/>
      <c r="L512" s="74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73"/>
      <c r="H513" s="22"/>
      <c r="I513" s="22"/>
      <c r="J513" s="22"/>
      <c r="K513" s="22"/>
      <c r="L513" s="74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73"/>
      <c r="H514" s="22"/>
      <c r="I514" s="22"/>
      <c r="J514" s="22"/>
      <c r="K514" s="22"/>
      <c r="L514" s="74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73"/>
      <c r="H515" s="22"/>
      <c r="I515" s="22"/>
      <c r="J515" s="22"/>
      <c r="K515" s="22"/>
      <c r="L515" s="74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73"/>
      <c r="H516" s="22"/>
      <c r="I516" s="22"/>
      <c r="J516" s="22"/>
      <c r="K516" s="22"/>
      <c r="L516" s="74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73"/>
      <c r="H517" s="22"/>
      <c r="I517" s="22"/>
      <c r="J517" s="22"/>
      <c r="K517" s="22"/>
      <c r="L517" s="74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73"/>
      <c r="H518" s="22"/>
      <c r="I518" s="22"/>
      <c r="J518" s="22"/>
      <c r="K518" s="22"/>
      <c r="L518" s="74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73"/>
      <c r="H519" s="22"/>
      <c r="I519" s="22"/>
      <c r="J519" s="22"/>
      <c r="K519" s="22"/>
      <c r="L519" s="74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73"/>
      <c r="H520" s="22"/>
      <c r="I520" s="22"/>
      <c r="J520" s="22"/>
      <c r="K520" s="22"/>
      <c r="L520" s="74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73"/>
      <c r="H521" s="22"/>
      <c r="I521" s="22"/>
      <c r="J521" s="22"/>
      <c r="K521" s="22"/>
      <c r="L521" s="74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73"/>
      <c r="H522" s="22"/>
      <c r="I522" s="22"/>
      <c r="J522" s="22"/>
      <c r="K522" s="22"/>
      <c r="L522" s="74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73"/>
      <c r="H523" s="22"/>
      <c r="I523" s="22"/>
      <c r="J523" s="22"/>
      <c r="K523" s="22"/>
      <c r="L523" s="74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73"/>
      <c r="H524" s="22"/>
      <c r="I524" s="22"/>
      <c r="J524" s="22"/>
      <c r="K524" s="22"/>
      <c r="L524" s="74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73"/>
      <c r="H525" s="22"/>
      <c r="I525" s="22"/>
      <c r="J525" s="22"/>
      <c r="K525" s="22"/>
      <c r="L525" s="74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73"/>
      <c r="H526" s="22"/>
      <c r="I526" s="22"/>
      <c r="J526" s="22"/>
      <c r="K526" s="22"/>
      <c r="L526" s="74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73"/>
      <c r="H527" s="22"/>
      <c r="I527" s="22"/>
      <c r="J527" s="22"/>
      <c r="K527" s="22"/>
      <c r="L527" s="74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73"/>
      <c r="H528" s="22"/>
      <c r="I528" s="22"/>
      <c r="J528" s="22"/>
      <c r="K528" s="22"/>
      <c r="L528" s="74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73"/>
      <c r="H529" s="22"/>
      <c r="I529" s="22"/>
      <c r="J529" s="22"/>
      <c r="K529" s="22"/>
      <c r="L529" s="74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73"/>
      <c r="H530" s="22"/>
      <c r="I530" s="22"/>
      <c r="J530" s="22"/>
      <c r="K530" s="22"/>
      <c r="L530" s="74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73"/>
      <c r="H531" s="22"/>
      <c r="I531" s="22"/>
      <c r="J531" s="22"/>
      <c r="K531" s="22"/>
      <c r="L531" s="74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73"/>
      <c r="H532" s="22"/>
      <c r="I532" s="22"/>
      <c r="J532" s="22"/>
      <c r="K532" s="22"/>
      <c r="L532" s="74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73"/>
      <c r="H533" s="22"/>
      <c r="I533" s="22"/>
      <c r="J533" s="22"/>
      <c r="K533" s="22"/>
      <c r="L533" s="74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73"/>
      <c r="H534" s="22"/>
      <c r="I534" s="22"/>
      <c r="J534" s="22"/>
      <c r="K534" s="22"/>
      <c r="L534" s="74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73"/>
      <c r="H535" s="22"/>
      <c r="I535" s="22"/>
      <c r="J535" s="22"/>
      <c r="K535" s="22"/>
      <c r="L535" s="74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73"/>
      <c r="H536" s="22"/>
      <c r="I536" s="22"/>
      <c r="J536" s="22"/>
      <c r="K536" s="22"/>
      <c r="L536" s="74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73"/>
      <c r="H537" s="22"/>
      <c r="I537" s="22"/>
      <c r="J537" s="22"/>
      <c r="K537" s="22"/>
      <c r="L537" s="74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73"/>
      <c r="H538" s="22"/>
      <c r="I538" s="22"/>
      <c r="J538" s="22"/>
      <c r="K538" s="22"/>
      <c r="L538" s="74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73"/>
      <c r="H539" s="22"/>
      <c r="I539" s="22"/>
      <c r="J539" s="22"/>
      <c r="K539" s="22"/>
      <c r="L539" s="74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73"/>
      <c r="H540" s="22"/>
      <c r="I540" s="22"/>
      <c r="J540" s="22"/>
      <c r="K540" s="22"/>
      <c r="L540" s="74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73"/>
      <c r="H541" s="22"/>
      <c r="I541" s="22"/>
      <c r="J541" s="22"/>
      <c r="K541" s="22"/>
      <c r="L541" s="74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73"/>
      <c r="H542" s="22"/>
      <c r="I542" s="22"/>
      <c r="J542" s="22"/>
      <c r="K542" s="22"/>
      <c r="L542" s="74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73"/>
      <c r="H543" s="22"/>
      <c r="I543" s="22"/>
      <c r="J543" s="22"/>
      <c r="K543" s="22"/>
      <c r="L543" s="74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73"/>
      <c r="H544" s="22"/>
      <c r="I544" s="22"/>
      <c r="J544" s="22"/>
      <c r="K544" s="22"/>
      <c r="L544" s="74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73"/>
      <c r="H545" s="22"/>
      <c r="I545" s="22"/>
      <c r="J545" s="22"/>
      <c r="K545" s="22"/>
      <c r="L545" s="74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73"/>
      <c r="H546" s="22"/>
      <c r="I546" s="22"/>
      <c r="J546" s="22"/>
      <c r="K546" s="22"/>
      <c r="L546" s="74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73"/>
      <c r="H547" s="22"/>
      <c r="I547" s="22"/>
      <c r="J547" s="22"/>
      <c r="K547" s="22"/>
      <c r="L547" s="74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73"/>
      <c r="H548" s="22"/>
      <c r="I548" s="22"/>
      <c r="J548" s="22"/>
      <c r="K548" s="22"/>
      <c r="L548" s="74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73"/>
      <c r="H549" s="22"/>
      <c r="I549" s="22"/>
      <c r="J549" s="22"/>
      <c r="K549" s="22"/>
      <c r="L549" s="74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73"/>
      <c r="H550" s="22"/>
      <c r="I550" s="22"/>
      <c r="J550" s="22"/>
      <c r="K550" s="22"/>
      <c r="L550" s="74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73"/>
      <c r="H551" s="22"/>
      <c r="I551" s="22"/>
      <c r="J551" s="22"/>
      <c r="K551" s="22"/>
      <c r="L551" s="74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73"/>
      <c r="H552" s="22"/>
      <c r="I552" s="22"/>
      <c r="J552" s="22"/>
      <c r="K552" s="22"/>
      <c r="L552" s="74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73"/>
      <c r="H553" s="22"/>
      <c r="I553" s="22"/>
      <c r="J553" s="22"/>
      <c r="K553" s="22"/>
      <c r="L553" s="74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73"/>
      <c r="H554" s="22"/>
      <c r="I554" s="22"/>
      <c r="J554" s="22"/>
      <c r="K554" s="22"/>
      <c r="L554" s="74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73"/>
      <c r="H555" s="22"/>
      <c r="I555" s="22"/>
      <c r="J555" s="22"/>
      <c r="K555" s="22"/>
      <c r="L555" s="74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73"/>
      <c r="H556" s="22"/>
      <c r="I556" s="22"/>
      <c r="J556" s="22"/>
      <c r="K556" s="22"/>
      <c r="L556" s="74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73"/>
      <c r="H557" s="22"/>
      <c r="I557" s="22"/>
      <c r="J557" s="22"/>
      <c r="K557" s="22"/>
      <c r="L557" s="74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73"/>
      <c r="H558" s="22"/>
      <c r="I558" s="22"/>
      <c r="J558" s="22"/>
      <c r="K558" s="22"/>
      <c r="L558" s="74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73"/>
      <c r="H559" s="22"/>
      <c r="I559" s="22"/>
      <c r="J559" s="22"/>
      <c r="K559" s="22"/>
      <c r="L559" s="74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73"/>
      <c r="H560" s="22"/>
      <c r="I560" s="22"/>
      <c r="J560" s="22"/>
      <c r="K560" s="22"/>
      <c r="L560" s="74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73"/>
      <c r="H561" s="22"/>
      <c r="I561" s="22"/>
      <c r="J561" s="22"/>
      <c r="K561" s="22"/>
      <c r="L561" s="74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73"/>
      <c r="H562" s="22"/>
      <c r="I562" s="22"/>
      <c r="J562" s="22"/>
      <c r="K562" s="22"/>
      <c r="L562" s="74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73"/>
      <c r="H563" s="22"/>
      <c r="I563" s="22"/>
      <c r="J563" s="22"/>
      <c r="K563" s="22"/>
      <c r="L563" s="74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73"/>
      <c r="H564" s="22"/>
      <c r="I564" s="22"/>
      <c r="J564" s="22"/>
      <c r="K564" s="22"/>
      <c r="L564" s="74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73"/>
      <c r="H565" s="22"/>
      <c r="I565" s="22"/>
      <c r="J565" s="22"/>
      <c r="K565" s="22"/>
      <c r="L565" s="74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73"/>
      <c r="H566" s="22"/>
      <c r="I566" s="22"/>
      <c r="J566" s="22"/>
      <c r="K566" s="22"/>
      <c r="L566" s="74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73"/>
      <c r="H567" s="22"/>
      <c r="I567" s="22"/>
      <c r="J567" s="22"/>
      <c r="K567" s="22"/>
      <c r="L567" s="74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73"/>
      <c r="H568" s="22"/>
      <c r="I568" s="22"/>
      <c r="J568" s="22"/>
      <c r="K568" s="22"/>
      <c r="L568" s="74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73"/>
      <c r="H569" s="22"/>
      <c r="I569" s="22"/>
      <c r="J569" s="22"/>
      <c r="K569" s="22"/>
      <c r="L569" s="74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73"/>
      <c r="H570" s="22"/>
      <c r="I570" s="22"/>
      <c r="J570" s="22"/>
      <c r="K570" s="22"/>
      <c r="L570" s="74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73"/>
      <c r="H571" s="22"/>
      <c r="I571" s="22"/>
      <c r="J571" s="22"/>
      <c r="K571" s="22"/>
      <c r="L571" s="74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73"/>
      <c r="H572" s="22"/>
      <c r="I572" s="22"/>
      <c r="J572" s="22"/>
      <c r="K572" s="22"/>
      <c r="L572" s="74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73"/>
      <c r="H573" s="22"/>
      <c r="I573" s="22"/>
      <c r="J573" s="22"/>
      <c r="K573" s="22"/>
      <c r="L573" s="74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73"/>
      <c r="H574" s="22"/>
      <c r="I574" s="22"/>
      <c r="J574" s="22"/>
      <c r="K574" s="22"/>
      <c r="L574" s="74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73"/>
      <c r="H575" s="22"/>
      <c r="I575" s="22"/>
      <c r="J575" s="22"/>
      <c r="K575" s="22"/>
      <c r="L575" s="74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73"/>
      <c r="H576" s="22"/>
      <c r="I576" s="22"/>
      <c r="J576" s="22"/>
      <c r="K576" s="22"/>
      <c r="L576" s="74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73"/>
      <c r="H577" s="22"/>
      <c r="I577" s="22"/>
      <c r="J577" s="22"/>
      <c r="K577" s="22"/>
      <c r="L577" s="74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73"/>
      <c r="H578" s="22"/>
      <c r="I578" s="22"/>
      <c r="J578" s="22"/>
      <c r="K578" s="22"/>
      <c r="L578" s="74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73"/>
      <c r="H579" s="22"/>
      <c r="I579" s="22"/>
      <c r="J579" s="22"/>
      <c r="K579" s="22"/>
      <c r="L579" s="74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73"/>
      <c r="H580" s="22"/>
      <c r="I580" s="22"/>
      <c r="J580" s="22"/>
      <c r="K580" s="22"/>
      <c r="L580" s="74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73"/>
      <c r="H581" s="22"/>
      <c r="I581" s="22"/>
      <c r="J581" s="22"/>
      <c r="K581" s="22"/>
      <c r="L581" s="74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73"/>
      <c r="H582" s="22"/>
      <c r="I582" s="22"/>
      <c r="J582" s="22"/>
      <c r="K582" s="22"/>
      <c r="L582" s="74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73"/>
      <c r="H583" s="22"/>
      <c r="I583" s="22"/>
      <c r="J583" s="22"/>
      <c r="K583" s="22"/>
      <c r="L583" s="74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73"/>
      <c r="H584" s="22"/>
      <c r="I584" s="22"/>
      <c r="J584" s="22"/>
      <c r="K584" s="22"/>
      <c r="L584" s="74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73"/>
      <c r="H585" s="22"/>
      <c r="I585" s="22"/>
      <c r="J585" s="22"/>
      <c r="K585" s="22"/>
      <c r="L585" s="74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73"/>
      <c r="H586" s="22"/>
      <c r="I586" s="22"/>
      <c r="J586" s="22"/>
      <c r="K586" s="22"/>
      <c r="L586" s="74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73"/>
      <c r="H587" s="22"/>
      <c r="I587" s="22"/>
      <c r="J587" s="22"/>
      <c r="K587" s="22"/>
      <c r="L587" s="74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73"/>
      <c r="H588" s="22"/>
      <c r="I588" s="22"/>
      <c r="J588" s="22"/>
      <c r="K588" s="22"/>
      <c r="L588" s="74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73"/>
      <c r="H589" s="22"/>
      <c r="I589" s="22"/>
      <c r="J589" s="22"/>
      <c r="K589" s="22"/>
      <c r="L589" s="74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73"/>
      <c r="H590" s="22"/>
      <c r="I590" s="22"/>
      <c r="J590" s="22"/>
      <c r="K590" s="22"/>
      <c r="L590" s="74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73"/>
      <c r="H591" s="22"/>
      <c r="I591" s="22"/>
      <c r="J591" s="22"/>
      <c r="K591" s="22"/>
      <c r="L591" s="74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73"/>
      <c r="H592" s="22"/>
      <c r="I592" s="22"/>
      <c r="J592" s="22"/>
      <c r="K592" s="22"/>
      <c r="L592" s="74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73"/>
      <c r="H593" s="22"/>
      <c r="I593" s="22"/>
      <c r="J593" s="22"/>
      <c r="K593" s="22"/>
      <c r="L593" s="74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73"/>
      <c r="H594" s="22"/>
      <c r="I594" s="22"/>
      <c r="J594" s="22"/>
      <c r="K594" s="22"/>
      <c r="L594" s="74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73"/>
      <c r="H595" s="22"/>
      <c r="I595" s="22"/>
      <c r="J595" s="22"/>
      <c r="K595" s="22"/>
      <c r="L595" s="74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73"/>
      <c r="H596" s="22"/>
      <c r="I596" s="22"/>
      <c r="J596" s="22"/>
      <c r="K596" s="22"/>
      <c r="L596" s="74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73"/>
      <c r="H597" s="22"/>
      <c r="I597" s="22"/>
      <c r="J597" s="22"/>
      <c r="K597" s="22"/>
      <c r="L597" s="74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73"/>
      <c r="H598" s="22"/>
      <c r="I598" s="22"/>
      <c r="J598" s="22"/>
      <c r="K598" s="22"/>
      <c r="L598" s="74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73"/>
      <c r="H599" s="22"/>
      <c r="I599" s="22"/>
      <c r="J599" s="22"/>
      <c r="K599" s="22"/>
      <c r="L599" s="74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73"/>
      <c r="H600" s="22"/>
      <c r="I600" s="22"/>
      <c r="J600" s="22"/>
      <c r="K600" s="22"/>
      <c r="L600" s="74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73"/>
      <c r="H601" s="22"/>
      <c r="I601" s="22"/>
      <c r="J601" s="22"/>
      <c r="K601" s="22"/>
      <c r="L601" s="74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73"/>
      <c r="H602" s="22"/>
      <c r="I602" s="22"/>
      <c r="J602" s="22"/>
      <c r="K602" s="22"/>
      <c r="L602" s="74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73"/>
      <c r="H603" s="22"/>
      <c r="I603" s="22"/>
      <c r="J603" s="22"/>
      <c r="K603" s="22"/>
      <c r="L603" s="74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73"/>
      <c r="H604" s="22"/>
      <c r="I604" s="22"/>
      <c r="J604" s="22"/>
      <c r="K604" s="22"/>
      <c r="L604" s="74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73"/>
      <c r="H605" s="22"/>
      <c r="I605" s="22"/>
      <c r="J605" s="22"/>
      <c r="K605" s="22"/>
      <c r="L605" s="74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73"/>
      <c r="H606" s="22"/>
      <c r="I606" s="22"/>
      <c r="J606" s="22"/>
      <c r="K606" s="22"/>
      <c r="L606" s="74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73"/>
      <c r="H607" s="22"/>
      <c r="I607" s="22"/>
      <c r="J607" s="22"/>
      <c r="K607" s="22"/>
      <c r="L607" s="74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73"/>
      <c r="H608" s="22"/>
      <c r="I608" s="22"/>
      <c r="J608" s="22"/>
      <c r="K608" s="22"/>
      <c r="L608" s="74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73"/>
      <c r="H609" s="22"/>
      <c r="I609" s="22"/>
      <c r="J609" s="22"/>
      <c r="K609" s="22"/>
      <c r="L609" s="74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73"/>
      <c r="H610" s="22"/>
      <c r="I610" s="22"/>
      <c r="J610" s="22"/>
      <c r="K610" s="22"/>
      <c r="L610" s="74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73"/>
      <c r="H611" s="22"/>
      <c r="I611" s="22"/>
      <c r="J611" s="22"/>
      <c r="K611" s="22"/>
      <c r="L611" s="74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73"/>
      <c r="H612" s="22"/>
      <c r="I612" s="22"/>
      <c r="J612" s="22"/>
      <c r="K612" s="22"/>
      <c r="L612" s="74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73"/>
      <c r="H613" s="22"/>
      <c r="I613" s="22"/>
      <c r="J613" s="22"/>
      <c r="K613" s="22"/>
      <c r="L613" s="74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73"/>
      <c r="H614" s="22"/>
      <c r="I614" s="22"/>
      <c r="J614" s="22"/>
      <c r="K614" s="22"/>
      <c r="L614" s="74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73"/>
      <c r="H615" s="22"/>
      <c r="I615" s="22"/>
      <c r="J615" s="22"/>
      <c r="K615" s="22"/>
      <c r="L615" s="74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73"/>
      <c r="H616" s="22"/>
      <c r="I616" s="22"/>
      <c r="J616" s="22"/>
      <c r="K616" s="22"/>
      <c r="L616" s="74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73"/>
      <c r="H617" s="22"/>
      <c r="I617" s="22"/>
      <c r="J617" s="22"/>
      <c r="K617" s="22"/>
      <c r="L617" s="74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73"/>
      <c r="H618" s="22"/>
      <c r="I618" s="22"/>
      <c r="J618" s="22"/>
      <c r="K618" s="22"/>
      <c r="L618" s="74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73"/>
      <c r="H619" s="22"/>
      <c r="I619" s="22"/>
      <c r="J619" s="22"/>
      <c r="K619" s="22"/>
      <c r="L619" s="74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73"/>
      <c r="H620" s="22"/>
      <c r="I620" s="22"/>
      <c r="J620" s="22"/>
      <c r="K620" s="22"/>
      <c r="L620" s="74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73"/>
      <c r="H621" s="22"/>
      <c r="I621" s="22"/>
      <c r="J621" s="22"/>
      <c r="K621" s="22"/>
      <c r="L621" s="74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73"/>
      <c r="H622" s="22"/>
      <c r="I622" s="22"/>
      <c r="J622" s="22"/>
      <c r="K622" s="22"/>
      <c r="L622" s="74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73"/>
      <c r="H623" s="22"/>
      <c r="I623" s="22"/>
      <c r="J623" s="22"/>
      <c r="K623" s="22"/>
      <c r="L623" s="74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73"/>
      <c r="H624" s="22"/>
      <c r="I624" s="22"/>
      <c r="J624" s="22"/>
      <c r="K624" s="22"/>
      <c r="L624" s="74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73"/>
      <c r="H625" s="22"/>
      <c r="I625" s="22"/>
      <c r="J625" s="22"/>
      <c r="K625" s="22"/>
      <c r="L625" s="74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73"/>
      <c r="H626" s="22"/>
      <c r="I626" s="22"/>
      <c r="J626" s="22"/>
      <c r="K626" s="22"/>
      <c r="L626" s="74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73"/>
      <c r="H627" s="22"/>
      <c r="I627" s="22"/>
      <c r="J627" s="22"/>
      <c r="K627" s="22"/>
      <c r="L627" s="74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73"/>
      <c r="H628" s="22"/>
      <c r="I628" s="22"/>
      <c r="J628" s="22"/>
      <c r="K628" s="22"/>
      <c r="L628" s="74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73"/>
      <c r="H629" s="22"/>
      <c r="I629" s="22"/>
      <c r="J629" s="22"/>
      <c r="K629" s="22"/>
      <c r="L629" s="74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73"/>
      <c r="H630" s="22"/>
      <c r="I630" s="22"/>
      <c r="J630" s="22"/>
      <c r="K630" s="22"/>
      <c r="L630" s="74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73"/>
      <c r="H631" s="22"/>
      <c r="I631" s="22"/>
      <c r="J631" s="22"/>
      <c r="K631" s="22"/>
      <c r="L631" s="74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73"/>
      <c r="H632" s="22"/>
      <c r="I632" s="22"/>
      <c r="J632" s="22"/>
      <c r="K632" s="22"/>
      <c r="L632" s="74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73"/>
      <c r="H633" s="22"/>
      <c r="I633" s="22"/>
      <c r="J633" s="22"/>
      <c r="K633" s="22"/>
      <c r="L633" s="74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73"/>
      <c r="H634" s="22"/>
      <c r="I634" s="22"/>
      <c r="J634" s="22"/>
      <c r="K634" s="22"/>
      <c r="L634" s="74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73"/>
      <c r="H635" s="22"/>
      <c r="I635" s="22"/>
      <c r="J635" s="22"/>
      <c r="K635" s="22"/>
      <c r="L635" s="74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73"/>
      <c r="H636" s="22"/>
      <c r="I636" s="22"/>
      <c r="J636" s="22"/>
      <c r="K636" s="22"/>
      <c r="L636" s="74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73"/>
      <c r="H637" s="22"/>
      <c r="I637" s="22"/>
      <c r="J637" s="22"/>
      <c r="K637" s="22"/>
      <c r="L637" s="74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73"/>
      <c r="H638" s="22"/>
      <c r="I638" s="22"/>
      <c r="J638" s="22"/>
      <c r="K638" s="22"/>
      <c r="L638" s="74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73"/>
      <c r="H639" s="22"/>
      <c r="I639" s="22"/>
      <c r="J639" s="22"/>
      <c r="K639" s="22"/>
      <c r="L639" s="74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73"/>
      <c r="H640" s="22"/>
      <c r="I640" s="22"/>
      <c r="J640" s="22"/>
      <c r="K640" s="22"/>
      <c r="L640" s="74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73"/>
      <c r="H641" s="22"/>
      <c r="I641" s="22"/>
      <c r="J641" s="22"/>
      <c r="K641" s="22"/>
      <c r="L641" s="74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73"/>
      <c r="H642" s="22"/>
      <c r="I642" s="22"/>
      <c r="J642" s="22"/>
      <c r="K642" s="22"/>
      <c r="L642" s="74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73"/>
      <c r="H643" s="22"/>
      <c r="I643" s="22"/>
      <c r="J643" s="22"/>
      <c r="K643" s="22"/>
      <c r="L643" s="74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73"/>
      <c r="H644" s="22"/>
      <c r="I644" s="22"/>
      <c r="J644" s="22"/>
      <c r="K644" s="22"/>
      <c r="L644" s="74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73"/>
      <c r="H645" s="22"/>
      <c r="I645" s="22"/>
      <c r="J645" s="22"/>
      <c r="K645" s="22"/>
      <c r="L645" s="74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73"/>
      <c r="H646" s="22"/>
      <c r="I646" s="22"/>
      <c r="J646" s="22"/>
      <c r="K646" s="22"/>
      <c r="L646" s="74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73"/>
      <c r="H647" s="22"/>
      <c r="I647" s="22"/>
      <c r="J647" s="22"/>
      <c r="K647" s="22"/>
      <c r="L647" s="74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73"/>
      <c r="H648" s="22"/>
      <c r="I648" s="22"/>
      <c r="J648" s="22"/>
      <c r="K648" s="22"/>
      <c r="L648" s="74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73"/>
      <c r="H649" s="22"/>
      <c r="I649" s="22"/>
      <c r="J649" s="22"/>
      <c r="K649" s="22"/>
      <c r="L649" s="74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73"/>
      <c r="H650" s="22"/>
      <c r="I650" s="22"/>
      <c r="J650" s="22"/>
      <c r="K650" s="22"/>
      <c r="L650" s="74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73"/>
      <c r="H651" s="22"/>
      <c r="I651" s="22"/>
      <c r="J651" s="22"/>
      <c r="K651" s="22"/>
      <c r="L651" s="74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73"/>
      <c r="H652" s="22"/>
      <c r="I652" s="22"/>
      <c r="J652" s="22"/>
      <c r="K652" s="22"/>
      <c r="L652" s="74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73"/>
      <c r="H653" s="22"/>
      <c r="I653" s="22"/>
      <c r="J653" s="22"/>
      <c r="K653" s="22"/>
      <c r="L653" s="74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73"/>
      <c r="H654" s="22"/>
      <c r="I654" s="22"/>
      <c r="J654" s="22"/>
      <c r="K654" s="22"/>
      <c r="L654" s="74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73"/>
      <c r="H655" s="22"/>
      <c r="I655" s="22"/>
      <c r="J655" s="22"/>
      <c r="K655" s="22"/>
      <c r="L655" s="74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73"/>
      <c r="H656" s="22"/>
      <c r="I656" s="22"/>
      <c r="J656" s="22"/>
      <c r="K656" s="22"/>
      <c r="L656" s="74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73"/>
      <c r="H657" s="22"/>
      <c r="I657" s="22"/>
      <c r="J657" s="22"/>
      <c r="K657" s="22"/>
      <c r="L657" s="74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73"/>
      <c r="H658" s="22"/>
      <c r="I658" s="22"/>
      <c r="J658" s="22"/>
      <c r="K658" s="22"/>
      <c r="L658" s="74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73"/>
      <c r="H659" s="22"/>
      <c r="I659" s="22"/>
      <c r="J659" s="22"/>
      <c r="K659" s="22"/>
      <c r="L659" s="74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73"/>
      <c r="H660" s="22"/>
      <c r="I660" s="22"/>
      <c r="J660" s="22"/>
      <c r="K660" s="22"/>
      <c r="L660" s="74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73"/>
      <c r="H661" s="22"/>
      <c r="I661" s="22"/>
      <c r="J661" s="22"/>
      <c r="K661" s="22"/>
      <c r="L661" s="74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73"/>
      <c r="H662" s="22"/>
      <c r="I662" s="22"/>
      <c r="J662" s="22"/>
      <c r="K662" s="22"/>
      <c r="L662" s="74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73"/>
      <c r="H663" s="22"/>
      <c r="I663" s="22"/>
      <c r="J663" s="22"/>
      <c r="K663" s="22"/>
      <c r="L663" s="74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73"/>
      <c r="H664" s="22"/>
      <c r="I664" s="22"/>
      <c r="J664" s="22"/>
      <c r="K664" s="22"/>
      <c r="L664" s="74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73"/>
      <c r="H665" s="22"/>
      <c r="I665" s="22"/>
      <c r="J665" s="22"/>
      <c r="K665" s="22"/>
      <c r="L665" s="74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73"/>
      <c r="H666" s="22"/>
      <c r="I666" s="22"/>
      <c r="J666" s="22"/>
      <c r="K666" s="22"/>
      <c r="L666" s="74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73"/>
      <c r="H667" s="22"/>
      <c r="I667" s="22"/>
      <c r="J667" s="22"/>
      <c r="K667" s="22"/>
      <c r="L667" s="74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73"/>
      <c r="H668" s="22"/>
      <c r="I668" s="22"/>
      <c r="J668" s="22"/>
      <c r="K668" s="22"/>
      <c r="L668" s="74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73"/>
      <c r="H669" s="22"/>
      <c r="I669" s="22"/>
      <c r="J669" s="22"/>
      <c r="K669" s="22"/>
      <c r="L669" s="74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73"/>
      <c r="H670" s="22"/>
      <c r="I670" s="22"/>
      <c r="J670" s="22"/>
      <c r="K670" s="22"/>
      <c r="L670" s="74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73"/>
      <c r="H671" s="22"/>
      <c r="I671" s="22"/>
      <c r="J671" s="22"/>
      <c r="K671" s="22"/>
      <c r="L671" s="74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73"/>
      <c r="H672" s="22"/>
      <c r="I672" s="22"/>
      <c r="J672" s="22"/>
      <c r="K672" s="22"/>
      <c r="L672" s="74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73"/>
      <c r="H673" s="22"/>
      <c r="I673" s="22"/>
      <c r="J673" s="22"/>
      <c r="K673" s="22"/>
      <c r="L673" s="74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73"/>
      <c r="H674" s="22"/>
      <c r="I674" s="22"/>
      <c r="J674" s="22"/>
      <c r="K674" s="22"/>
      <c r="L674" s="74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73"/>
      <c r="H675" s="22"/>
      <c r="I675" s="22"/>
      <c r="J675" s="22"/>
      <c r="K675" s="22"/>
      <c r="L675" s="74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73"/>
      <c r="H676" s="22"/>
      <c r="I676" s="22"/>
      <c r="J676" s="22"/>
      <c r="K676" s="22"/>
      <c r="L676" s="74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73"/>
      <c r="H677" s="22"/>
      <c r="I677" s="22"/>
      <c r="J677" s="22"/>
      <c r="K677" s="22"/>
      <c r="L677" s="74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73"/>
      <c r="H678" s="22"/>
      <c r="I678" s="22"/>
      <c r="J678" s="22"/>
      <c r="K678" s="22"/>
      <c r="L678" s="74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73"/>
      <c r="H679" s="22"/>
      <c r="I679" s="22"/>
      <c r="J679" s="22"/>
      <c r="K679" s="22"/>
      <c r="L679" s="74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73"/>
      <c r="H680" s="22"/>
      <c r="I680" s="22"/>
      <c r="J680" s="22"/>
      <c r="K680" s="22"/>
      <c r="L680" s="74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73"/>
      <c r="H681" s="22"/>
      <c r="I681" s="22"/>
      <c r="J681" s="22"/>
      <c r="K681" s="22"/>
      <c r="L681" s="74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73"/>
      <c r="H682" s="22"/>
      <c r="I682" s="22"/>
      <c r="J682" s="22"/>
      <c r="K682" s="22"/>
      <c r="L682" s="74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73"/>
      <c r="H683" s="22"/>
      <c r="I683" s="22"/>
      <c r="J683" s="22"/>
      <c r="K683" s="22"/>
      <c r="L683" s="74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73"/>
      <c r="H684" s="22"/>
      <c r="I684" s="22"/>
      <c r="J684" s="22"/>
      <c r="K684" s="22"/>
      <c r="L684" s="74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73"/>
      <c r="H685" s="22"/>
      <c r="I685" s="22"/>
      <c r="J685" s="22"/>
      <c r="K685" s="22"/>
      <c r="L685" s="74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73"/>
      <c r="H686" s="22"/>
      <c r="I686" s="22"/>
      <c r="J686" s="22"/>
      <c r="K686" s="22"/>
      <c r="L686" s="74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73"/>
      <c r="H687" s="22"/>
      <c r="I687" s="22"/>
      <c r="J687" s="22"/>
      <c r="K687" s="22"/>
      <c r="L687" s="74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73"/>
      <c r="H688" s="22"/>
      <c r="I688" s="22"/>
      <c r="J688" s="22"/>
      <c r="K688" s="22"/>
      <c r="L688" s="74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73"/>
      <c r="H689" s="22"/>
      <c r="I689" s="22"/>
      <c r="J689" s="22"/>
      <c r="K689" s="22"/>
      <c r="L689" s="74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73"/>
      <c r="H690" s="22"/>
      <c r="I690" s="22"/>
      <c r="J690" s="22"/>
      <c r="K690" s="22"/>
      <c r="L690" s="74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73"/>
      <c r="H691" s="22"/>
      <c r="I691" s="22"/>
      <c r="J691" s="22"/>
      <c r="K691" s="22"/>
      <c r="L691" s="74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73"/>
      <c r="H692" s="22"/>
      <c r="I692" s="22"/>
      <c r="J692" s="22"/>
      <c r="K692" s="22"/>
      <c r="L692" s="74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73"/>
      <c r="H693" s="22"/>
      <c r="I693" s="22"/>
      <c r="J693" s="22"/>
      <c r="K693" s="22"/>
      <c r="L693" s="74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73"/>
      <c r="H694" s="22"/>
      <c r="I694" s="22"/>
      <c r="J694" s="22"/>
      <c r="K694" s="22"/>
      <c r="L694" s="74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73"/>
      <c r="H695" s="22"/>
      <c r="I695" s="22"/>
      <c r="J695" s="22"/>
      <c r="K695" s="22"/>
      <c r="L695" s="74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73"/>
      <c r="H696" s="22"/>
      <c r="I696" s="22"/>
      <c r="J696" s="22"/>
      <c r="K696" s="22"/>
      <c r="L696" s="74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73"/>
      <c r="H697" s="22"/>
      <c r="I697" s="22"/>
      <c r="J697" s="22"/>
      <c r="K697" s="22"/>
      <c r="L697" s="74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73"/>
      <c r="H698" s="22"/>
      <c r="I698" s="22"/>
      <c r="J698" s="22"/>
      <c r="K698" s="22"/>
      <c r="L698" s="74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73"/>
      <c r="H699" s="22"/>
      <c r="I699" s="22"/>
      <c r="J699" s="22"/>
      <c r="K699" s="22"/>
      <c r="L699" s="74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73"/>
      <c r="H700" s="22"/>
      <c r="I700" s="22"/>
      <c r="J700" s="22"/>
      <c r="K700" s="22"/>
      <c r="L700" s="74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73"/>
      <c r="H701" s="22"/>
      <c r="I701" s="22"/>
      <c r="J701" s="22"/>
      <c r="K701" s="22"/>
      <c r="L701" s="74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73"/>
      <c r="H702" s="22"/>
      <c r="I702" s="22"/>
      <c r="J702" s="22"/>
      <c r="K702" s="22"/>
      <c r="L702" s="74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73"/>
      <c r="H703" s="22"/>
      <c r="I703" s="22"/>
      <c r="J703" s="22"/>
      <c r="K703" s="22"/>
      <c r="L703" s="74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73"/>
      <c r="H704" s="22"/>
      <c r="I704" s="22"/>
      <c r="J704" s="22"/>
      <c r="K704" s="22"/>
      <c r="L704" s="74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73"/>
      <c r="H705" s="22"/>
      <c r="I705" s="22"/>
      <c r="J705" s="22"/>
      <c r="K705" s="22"/>
      <c r="L705" s="74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73"/>
      <c r="H706" s="22"/>
      <c r="I706" s="22"/>
      <c r="J706" s="22"/>
      <c r="K706" s="22"/>
      <c r="L706" s="74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73"/>
      <c r="H707" s="22"/>
      <c r="I707" s="22"/>
      <c r="J707" s="22"/>
      <c r="K707" s="22"/>
      <c r="L707" s="74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73"/>
      <c r="H708" s="22"/>
      <c r="I708" s="22"/>
      <c r="J708" s="22"/>
      <c r="K708" s="22"/>
      <c r="L708" s="74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73"/>
      <c r="H709" s="22"/>
      <c r="I709" s="22"/>
      <c r="J709" s="22"/>
      <c r="K709" s="22"/>
      <c r="L709" s="74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73"/>
      <c r="H710" s="22"/>
      <c r="I710" s="22"/>
      <c r="J710" s="22"/>
      <c r="K710" s="22"/>
      <c r="L710" s="74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73"/>
      <c r="H711" s="22"/>
      <c r="I711" s="22"/>
      <c r="J711" s="22"/>
      <c r="K711" s="22"/>
      <c r="L711" s="74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73"/>
      <c r="H712" s="22"/>
      <c r="I712" s="22"/>
      <c r="J712" s="22"/>
      <c r="K712" s="22"/>
      <c r="L712" s="74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73"/>
      <c r="H713" s="22"/>
      <c r="I713" s="22"/>
      <c r="J713" s="22"/>
      <c r="K713" s="22"/>
      <c r="L713" s="74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73"/>
      <c r="H714" s="22"/>
      <c r="I714" s="22"/>
      <c r="J714" s="22"/>
      <c r="K714" s="22"/>
      <c r="L714" s="74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73"/>
      <c r="H715" s="22"/>
      <c r="I715" s="22"/>
      <c r="J715" s="22"/>
      <c r="K715" s="22"/>
      <c r="L715" s="74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73"/>
      <c r="H716" s="22"/>
      <c r="I716" s="22"/>
      <c r="J716" s="22"/>
      <c r="K716" s="22"/>
      <c r="L716" s="74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73"/>
      <c r="H717" s="22"/>
      <c r="I717" s="22"/>
      <c r="J717" s="22"/>
      <c r="K717" s="22"/>
      <c r="L717" s="74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73"/>
      <c r="H718" s="22"/>
      <c r="I718" s="22"/>
      <c r="J718" s="22"/>
      <c r="K718" s="22"/>
      <c r="L718" s="74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73"/>
      <c r="H719" s="22"/>
      <c r="I719" s="22"/>
      <c r="J719" s="22"/>
      <c r="K719" s="22"/>
      <c r="L719" s="74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73"/>
      <c r="H720" s="22"/>
      <c r="I720" s="22"/>
      <c r="J720" s="22"/>
      <c r="K720" s="22"/>
      <c r="L720" s="74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73"/>
      <c r="H721" s="22"/>
      <c r="I721" s="22"/>
      <c r="J721" s="22"/>
      <c r="K721" s="22"/>
      <c r="L721" s="74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73"/>
      <c r="H722" s="22"/>
      <c r="I722" s="22"/>
      <c r="J722" s="22"/>
      <c r="K722" s="22"/>
      <c r="L722" s="74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73"/>
      <c r="H723" s="22"/>
      <c r="I723" s="22"/>
      <c r="J723" s="22"/>
      <c r="K723" s="22"/>
      <c r="L723" s="74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73"/>
      <c r="H724" s="22"/>
      <c r="I724" s="22"/>
      <c r="J724" s="22"/>
      <c r="K724" s="22"/>
      <c r="L724" s="74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73"/>
      <c r="H725" s="22"/>
      <c r="I725" s="22"/>
      <c r="J725" s="22"/>
      <c r="K725" s="22"/>
      <c r="L725" s="74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73"/>
      <c r="H726" s="22"/>
      <c r="I726" s="22"/>
      <c r="J726" s="22"/>
      <c r="K726" s="22"/>
      <c r="L726" s="74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73"/>
      <c r="H727" s="22"/>
      <c r="I727" s="22"/>
      <c r="J727" s="22"/>
      <c r="K727" s="22"/>
      <c r="L727" s="74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73"/>
      <c r="H728" s="22"/>
      <c r="I728" s="22"/>
      <c r="J728" s="22"/>
      <c r="K728" s="22"/>
      <c r="L728" s="74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73"/>
      <c r="H729" s="22"/>
      <c r="I729" s="22"/>
      <c r="J729" s="22"/>
      <c r="K729" s="22"/>
      <c r="L729" s="74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73"/>
      <c r="H730" s="22"/>
      <c r="I730" s="22"/>
      <c r="J730" s="22"/>
      <c r="K730" s="22"/>
      <c r="L730" s="74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73"/>
      <c r="H731" s="22"/>
      <c r="I731" s="22"/>
      <c r="J731" s="22"/>
      <c r="K731" s="22"/>
      <c r="L731" s="74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73"/>
      <c r="H732" s="22"/>
      <c r="I732" s="22"/>
      <c r="J732" s="22"/>
      <c r="K732" s="22"/>
      <c r="L732" s="74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73"/>
      <c r="H733" s="22"/>
      <c r="I733" s="22"/>
      <c r="J733" s="22"/>
      <c r="K733" s="22"/>
      <c r="L733" s="74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73"/>
      <c r="H734" s="22"/>
      <c r="I734" s="22"/>
      <c r="J734" s="22"/>
      <c r="K734" s="22"/>
      <c r="L734" s="74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73"/>
      <c r="H735" s="22"/>
      <c r="I735" s="22"/>
      <c r="J735" s="22"/>
      <c r="K735" s="22"/>
      <c r="L735" s="74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73"/>
      <c r="H736" s="22"/>
      <c r="I736" s="22"/>
      <c r="J736" s="22"/>
      <c r="K736" s="22"/>
      <c r="L736" s="74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73"/>
      <c r="H737" s="22"/>
      <c r="I737" s="22"/>
      <c r="J737" s="22"/>
      <c r="K737" s="22"/>
      <c r="L737" s="74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73"/>
      <c r="H738" s="22"/>
      <c r="I738" s="22"/>
      <c r="J738" s="22"/>
      <c r="K738" s="22"/>
      <c r="L738" s="74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73"/>
      <c r="H739" s="22"/>
      <c r="I739" s="22"/>
      <c r="J739" s="22"/>
      <c r="K739" s="22"/>
      <c r="L739" s="74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73"/>
      <c r="H740" s="22"/>
      <c r="I740" s="22"/>
      <c r="J740" s="22"/>
      <c r="K740" s="22"/>
      <c r="L740" s="74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73"/>
      <c r="H741" s="22"/>
      <c r="I741" s="22"/>
      <c r="J741" s="22"/>
      <c r="K741" s="22"/>
      <c r="L741" s="74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73"/>
      <c r="H742" s="22"/>
      <c r="I742" s="22"/>
      <c r="J742" s="22"/>
      <c r="K742" s="22"/>
      <c r="L742" s="74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73"/>
      <c r="H743" s="22"/>
      <c r="I743" s="22"/>
      <c r="J743" s="22"/>
      <c r="K743" s="22"/>
      <c r="L743" s="74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73"/>
      <c r="H744" s="22"/>
      <c r="I744" s="22"/>
      <c r="J744" s="22"/>
      <c r="K744" s="22"/>
      <c r="L744" s="74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73"/>
      <c r="H745" s="22"/>
      <c r="I745" s="22"/>
      <c r="J745" s="22"/>
      <c r="K745" s="22"/>
      <c r="L745" s="74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73"/>
      <c r="H746" s="22"/>
      <c r="I746" s="22"/>
      <c r="J746" s="22"/>
      <c r="K746" s="22"/>
      <c r="L746" s="74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73"/>
      <c r="H747" s="22"/>
      <c r="I747" s="22"/>
      <c r="J747" s="22"/>
      <c r="K747" s="22"/>
      <c r="L747" s="74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73"/>
      <c r="H748" s="22"/>
      <c r="I748" s="22"/>
      <c r="J748" s="22"/>
      <c r="K748" s="22"/>
      <c r="L748" s="74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73"/>
      <c r="H749" s="22"/>
      <c r="I749" s="22"/>
      <c r="J749" s="22"/>
      <c r="K749" s="22"/>
      <c r="L749" s="74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73"/>
      <c r="H750" s="22"/>
      <c r="I750" s="22"/>
      <c r="J750" s="22"/>
      <c r="K750" s="22"/>
      <c r="L750" s="74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73"/>
      <c r="H751" s="22"/>
      <c r="I751" s="22"/>
      <c r="J751" s="22"/>
      <c r="K751" s="22"/>
      <c r="L751" s="74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73"/>
      <c r="H752" s="22"/>
      <c r="I752" s="22"/>
      <c r="J752" s="22"/>
      <c r="K752" s="22"/>
      <c r="L752" s="74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73"/>
      <c r="H753" s="22"/>
      <c r="I753" s="22"/>
      <c r="J753" s="22"/>
      <c r="K753" s="22"/>
      <c r="L753" s="74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73"/>
      <c r="H754" s="22"/>
      <c r="I754" s="22"/>
      <c r="J754" s="22"/>
      <c r="K754" s="22"/>
      <c r="L754" s="74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73"/>
      <c r="H755" s="22"/>
      <c r="I755" s="22"/>
      <c r="J755" s="22"/>
      <c r="K755" s="22"/>
      <c r="L755" s="74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73"/>
      <c r="H756" s="22"/>
      <c r="I756" s="22"/>
      <c r="J756" s="22"/>
      <c r="K756" s="22"/>
      <c r="L756" s="74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73"/>
      <c r="H757" s="22"/>
      <c r="I757" s="22"/>
      <c r="J757" s="22"/>
      <c r="K757" s="22"/>
      <c r="L757" s="74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73"/>
      <c r="H758" s="22"/>
      <c r="I758" s="22"/>
      <c r="J758" s="22"/>
      <c r="K758" s="22"/>
      <c r="L758" s="74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73"/>
      <c r="H759" s="22"/>
      <c r="I759" s="22"/>
      <c r="J759" s="22"/>
      <c r="K759" s="22"/>
      <c r="L759" s="74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73"/>
      <c r="H760" s="22"/>
      <c r="I760" s="22"/>
      <c r="J760" s="22"/>
      <c r="K760" s="22"/>
      <c r="L760" s="74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73"/>
      <c r="H761" s="22"/>
      <c r="I761" s="22"/>
      <c r="J761" s="22"/>
      <c r="K761" s="22"/>
      <c r="L761" s="74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73"/>
      <c r="H762" s="22"/>
      <c r="I762" s="22"/>
      <c r="J762" s="22"/>
      <c r="K762" s="22"/>
      <c r="L762" s="74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73"/>
      <c r="H763" s="22"/>
      <c r="I763" s="22"/>
      <c r="J763" s="22"/>
      <c r="K763" s="22"/>
      <c r="L763" s="74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73"/>
      <c r="H764" s="22"/>
      <c r="I764" s="22"/>
      <c r="J764" s="22"/>
      <c r="K764" s="22"/>
      <c r="L764" s="74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73"/>
      <c r="H765" s="22"/>
      <c r="I765" s="22"/>
      <c r="J765" s="22"/>
      <c r="K765" s="22"/>
      <c r="L765" s="74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73"/>
      <c r="H766" s="22"/>
      <c r="I766" s="22"/>
      <c r="J766" s="22"/>
      <c r="K766" s="22"/>
      <c r="L766" s="74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73"/>
      <c r="H767" s="22"/>
      <c r="I767" s="22"/>
      <c r="J767" s="22"/>
      <c r="K767" s="22"/>
      <c r="L767" s="74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73"/>
      <c r="H768" s="22"/>
      <c r="I768" s="22"/>
      <c r="J768" s="22"/>
      <c r="K768" s="22"/>
      <c r="L768" s="74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73"/>
      <c r="H769" s="22"/>
      <c r="I769" s="22"/>
      <c r="J769" s="22"/>
      <c r="K769" s="22"/>
      <c r="L769" s="74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73"/>
      <c r="H770" s="22"/>
      <c r="I770" s="22"/>
      <c r="J770" s="22"/>
      <c r="K770" s="22"/>
      <c r="L770" s="74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73"/>
      <c r="H771" s="22"/>
      <c r="I771" s="22"/>
      <c r="J771" s="22"/>
      <c r="K771" s="22"/>
      <c r="L771" s="74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73"/>
      <c r="H772" s="22"/>
      <c r="I772" s="22"/>
      <c r="J772" s="22"/>
      <c r="K772" s="22"/>
      <c r="L772" s="74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73"/>
      <c r="H773" s="22"/>
      <c r="I773" s="22"/>
      <c r="J773" s="22"/>
      <c r="K773" s="22"/>
      <c r="L773" s="74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73"/>
      <c r="H774" s="22"/>
      <c r="I774" s="22"/>
      <c r="J774" s="22"/>
      <c r="K774" s="22"/>
      <c r="L774" s="74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73"/>
      <c r="H775" s="22"/>
      <c r="I775" s="22"/>
      <c r="J775" s="22"/>
      <c r="K775" s="22"/>
      <c r="L775" s="74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73"/>
      <c r="H776" s="22"/>
      <c r="I776" s="22"/>
      <c r="J776" s="22"/>
      <c r="K776" s="22"/>
      <c r="L776" s="74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73"/>
      <c r="H777" s="22"/>
      <c r="I777" s="22"/>
      <c r="J777" s="22"/>
      <c r="K777" s="22"/>
      <c r="L777" s="74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73"/>
      <c r="H778" s="22"/>
      <c r="I778" s="22"/>
      <c r="J778" s="22"/>
      <c r="K778" s="22"/>
      <c r="L778" s="74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73"/>
      <c r="H779" s="22"/>
      <c r="I779" s="22"/>
      <c r="J779" s="22"/>
      <c r="K779" s="22"/>
      <c r="L779" s="74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73"/>
      <c r="H780" s="22"/>
      <c r="I780" s="22"/>
      <c r="J780" s="22"/>
      <c r="K780" s="22"/>
      <c r="L780" s="74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73"/>
      <c r="H781" s="22"/>
      <c r="I781" s="22"/>
      <c r="J781" s="22"/>
      <c r="K781" s="22"/>
      <c r="L781" s="74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73"/>
      <c r="H782" s="22"/>
      <c r="I782" s="22"/>
      <c r="J782" s="22"/>
      <c r="K782" s="22"/>
      <c r="L782" s="74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73"/>
      <c r="H783" s="22"/>
      <c r="I783" s="22"/>
      <c r="J783" s="22"/>
      <c r="K783" s="22"/>
      <c r="L783" s="74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73"/>
      <c r="H784" s="22"/>
      <c r="I784" s="22"/>
      <c r="J784" s="22"/>
      <c r="K784" s="22"/>
      <c r="L784" s="74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73"/>
      <c r="H785" s="22"/>
      <c r="I785" s="22"/>
      <c r="J785" s="22"/>
      <c r="K785" s="22"/>
      <c r="L785" s="74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73"/>
      <c r="H786" s="22"/>
      <c r="I786" s="22"/>
      <c r="J786" s="22"/>
      <c r="K786" s="22"/>
      <c r="L786" s="74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73"/>
      <c r="H787" s="22"/>
      <c r="I787" s="22"/>
      <c r="J787" s="22"/>
      <c r="K787" s="22"/>
      <c r="L787" s="74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73"/>
      <c r="H788" s="22"/>
      <c r="I788" s="22"/>
      <c r="J788" s="22"/>
      <c r="K788" s="22"/>
      <c r="L788" s="74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73"/>
      <c r="H789" s="22"/>
      <c r="I789" s="22"/>
      <c r="J789" s="22"/>
      <c r="K789" s="22"/>
      <c r="L789" s="74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73"/>
      <c r="H790" s="22"/>
      <c r="I790" s="22"/>
      <c r="J790" s="22"/>
      <c r="K790" s="22"/>
      <c r="L790" s="74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73"/>
      <c r="H791" s="22"/>
      <c r="I791" s="22"/>
      <c r="J791" s="22"/>
      <c r="K791" s="22"/>
      <c r="L791" s="74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73"/>
      <c r="H792" s="22"/>
      <c r="I792" s="22"/>
      <c r="J792" s="22"/>
      <c r="K792" s="22"/>
      <c r="L792" s="74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73"/>
      <c r="H793" s="22"/>
      <c r="I793" s="22"/>
      <c r="J793" s="22"/>
      <c r="K793" s="22"/>
      <c r="L793" s="74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73"/>
      <c r="H794" s="22"/>
      <c r="I794" s="22"/>
      <c r="J794" s="22"/>
      <c r="K794" s="22"/>
      <c r="L794" s="74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73"/>
      <c r="H795" s="22"/>
      <c r="I795" s="22"/>
      <c r="J795" s="22"/>
      <c r="K795" s="22"/>
      <c r="L795" s="74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73"/>
      <c r="H796" s="22"/>
      <c r="I796" s="22"/>
      <c r="J796" s="22"/>
      <c r="K796" s="22"/>
      <c r="L796" s="74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73"/>
      <c r="H797" s="22"/>
      <c r="I797" s="22"/>
      <c r="J797" s="22"/>
      <c r="K797" s="22"/>
      <c r="L797" s="74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73"/>
      <c r="H798" s="22"/>
      <c r="I798" s="22"/>
      <c r="J798" s="22"/>
      <c r="K798" s="22"/>
      <c r="L798" s="74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73"/>
      <c r="H799" s="22"/>
      <c r="I799" s="22"/>
      <c r="J799" s="22"/>
      <c r="K799" s="22"/>
      <c r="L799" s="74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73"/>
      <c r="H800" s="22"/>
      <c r="I800" s="22"/>
      <c r="J800" s="22"/>
      <c r="K800" s="22"/>
      <c r="L800" s="74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73"/>
      <c r="H801" s="22"/>
      <c r="I801" s="22"/>
      <c r="J801" s="22"/>
      <c r="K801" s="22"/>
      <c r="L801" s="74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73"/>
      <c r="H802" s="22"/>
      <c r="I802" s="22"/>
      <c r="J802" s="22"/>
      <c r="K802" s="22"/>
      <c r="L802" s="74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73"/>
      <c r="H803" s="22"/>
      <c r="I803" s="22"/>
      <c r="J803" s="22"/>
      <c r="K803" s="22"/>
      <c r="L803" s="74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73"/>
      <c r="H804" s="22"/>
      <c r="I804" s="22"/>
      <c r="J804" s="22"/>
      <c r="K804" s="22"/>
      <c r="L804" s="74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73"/>
      <c r="H805" s="22"/>
      <c r="I805" s="22"/>
      <c r="J805" s="22"/>
      <c r="K805" s="22"/>
      <c r="L805" s="74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73"/>
      <c r="H806" s="22"/>
      <c r="I806" s="22"/>
      <c r="J806" s="22"/>
      <c r="K806" s="22"/>
      <c r="L806" s="74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73"/>
      <c r="H807" s="22"/>
      <c r="I807" s="22"/>
      <c r="J807" s="22"/>
      <c r="K807" s="22"/>
      <c r="L807" s="74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73"/>
      <c r="H808" s="22"/>
      <c r="I808" s="22"/>
      <c r="J808" s="22"/>
      <c r="K808" s="22"/>
      <c r="L808" s="74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73"/>
      <c r="H809" s="22"/>
      <c r="I809" s="22"/>
      <c r="J809" s="22"/>
      <c r="K809" s="22"/>
      <c r="L809" s="74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73"/>
      <c r="H810" s="22"/>
      <c r="I810" s="22"/>
      <c r="J810" s="22"/>
      <c r="K810" s="22"/>
      <c r="L810" s="74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73"/>
      <c r="H811" s="22"/>
      <c r="I811" s="22"/>
      <c r="J811" s="22"/>
      <c r="K811" s="22"/>
      <c r="L811" s="74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73"/>
      <c r="H812" s="22"/>
      <c r="I812" s="22"/>
      <c r="J812" s="22"/>
      <c r="K812" s="22"/>
      <c r="L812" s="74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73"/>
      <c r="H813" s="22"/>
      <c r="I813" s="22"/>
      <c r="J813" s="22"/>
      <c r="K813" s="22"/>
      <c r="L813" s="74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73"/>
      <c r="H814" s="22"/>
      <c r="I814" s="22"/>
      <c r="J814" s="22"/>
      <c r="K814" s="22"/>
      <c r="L814" s="74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73"/>
      <c r="H815" s="22"/>
      <c r="I815" s="22"/>
      <c r="J815" s="22"/>
      <c r="K815" s="22"/>
      <c r="L815" s="74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73"/>
      <c r="H816" s="22"/>
      <c r="I816" s="22"/>
      <c r="J816" s="22"/>
      <c r="K816" s="22"/>
      <c r="L816" s="74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73"/>
      <c r="H817" s="22"/>
      <c r="I817" s="22"/>
      <c r="J817" s="22"/>
      <c r="K817" s="22"/>
      <c r="L817" s="74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73"/>
      <c r="H818" s="22"/>
      <c r="I818" s="22"/>
      <c r="J818" s="22"/>
      <c r="K818" s="22"/>
      <c r="L818" s="74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73"/>
      <c r="H819" s="22"/>
      <c r="I819" s="22"/>
      <c r="J819" s="22"/>
      <c r="K819" s="22"/>
      <c r="L819" s="74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73"/>
      <c r="H820" s="22"/>
      <c r="I820" s="22"/>
      <c r="J820" s="22"/>
      <c r="K820" s="22"/>
      <c r="L820" s="74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73"/>
      <c r="H821" s="22"/>
      <c r="I821" s="22"/>
      <c r="J821" s="22"/>
      <c r="K821" s="22"/>
      <c r="L821" s="74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73"/>
      <c r="H822" s="22"/>
      <c r="I822" s="22"/>
      <c r="J822" s="22"/>
      <c r="K822" s="22"/>
      <c r="L822" s="74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73"/>
      <c r="H823" s="22"/>
      <c r="I823" s="22"/>
      <c r="J823" s="22"/>
      <c r="K823" s="22"/>
      <c r="L823" s="74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73"/>
      <c r="H824" s="22"/>
      <c r="I824" s="22"/>
      <c r="J824" s="22"/>
      <c r="K824" s="22"/>
      <c r="L824" s="74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73"/>
      <c r="H825" s="22"/>
      <c r="I825" s="22"/>
      <c r="J825" s="22"/>
      <c r="K825" s="22"/>
      <c r="L825" s="74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73"/>
      <c r="H826" s="22"/>
      <c r="I826" s="22"/>
      <c r="J826" s="22"/>
      <c r="K826" s="22"/>
      <c r="L826" s="74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73"/>
      <c r="H827" s="22"/>
      <c r="I827" s="22"/>
      <c r="J827" s="22"/>
      <c r="K827" s="22"/>
      <c r="L827" s="74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73"/>
      <c r="H828" s="22"/>
      <c r="I828" s="22"/>
      <c r="J828" s="22"/>
      <c r="K828" s="22"/>
      <c r="L828" s="74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73"/>
      <c r="H829" s="22"/>
      <c r="I829" s="22"/>
      <c r="J829" s="22"/>
      <c r="K829" s="22"/>
      <c r="L829" s="74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73"/>
      <c r="H830" s="22"/>
      <c r="I830" s="22"/>
      <c r="J830" s="22"/>
      <c r="K830" s="22"/>
      <c r="L830" s="74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73"/>
      <c r="H831" s="22"/>
      <c r="I831" s="22"/>
      <c r="J831" s="22"/>
      <c r="K831" s="22"/>
      <c r="L831" s="74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73"/>
      <c r="H832" s="22"/>
      <c r="I832" s="22"/>
      <c r="J832" s="22"/>
      <c r="K832" s="22"/>
      <c r="L832" s="74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73"/>
      <c r="H833" s="22"/>
      <c r="I833" s="22"/>
      <c r="J833" s="22"/>
      <c r="K833" s="22"/>
      <c r="L833" s="74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73"/>
      <c r="H834" s="22"/>
      <c r="I834" s="22"/>
      <c r="J834" s="22"/>
      <c r="K834" s="22"/>
      <c r="L834" s="74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73"/>
      <c r="H835" s="22"/>
      <c r="I835" s="22"/>
      <c r="J835" s="22"/>
      <c r="K835" s="22"/>
      <c r="L835" s="74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73"/>
      <c r="H836" s="22"/>
      <c r="I836" s="22"/>
      <c r="J836" s="22"/>
      <c r="K836" s="22"/>
      <c r="L836" s="74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73"/>
      <c r="H837" s="22"/>
      <c r="I837" s="22"/>
      <c r="J837" s="22"/>
      <c r="K837" s="22"/>
      <c r="L837" s="74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73"/>
      <c r="H838" s="22"/>
      <c r="I838" s="22"/>
      <c r="J838" s="22"/>
      <c r="K838" s="22"/>
      <c r="L838" s="74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73"/>
      <c r="H839" s="22"/>
      <c r="I839" s="22"/>
      <c r="J839" s="22"/>
      <c r="K839" s="22"/>
      <c r="L839" s="74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73"/>
      <c r="H840" s="22"/>
      <c r="I840" s="22"/>
      <c r="J840" s="22"/>
      <c r="K840" s="22"/>
      <c r="L840" s="74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73"/>
      <c r="H841" s="22"/>
      <c r="I841" s="22"/>
      <c r="J841" s="22"/>
      <c r="K841" s="22"/>
      <c r="L841" s="74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73"/>
      <c r="H842" s="22"/>
      <c r="I842" s="22"/>
      <c r="J842" s="22"/>
      <c r="K842" s="22"/>
      <c r="L842" s="74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73"/>
      <c r="H843" s="22"/>
      <c r="I843" s="22"/>
      <c r="J843" s="22"/>
      <c r="K843" s="22"/>
      <c r="L843" s="74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73"/>
      <c r="H844" s="22"/>
      <c r="I844" s="22"/>
      <c r="J844" s="22"/>
      <c r="K844" s="22"/>
      <c r="L844" s="74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73"/>
      <c r="H845" s="22"/>
      <c r="I845" s="22"/>
      <c r="J845" s="22"/>
      <c r="K845" s="22"/>
      <c r="L845" s="74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73"/>
      <c r="H846" s="22"/>
      <c r="I846" s="22"/>
      <c r="J846" s="22"/>
      <c r="K846" s="22"/>
      <c r="L846" s="74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73"/>
      <c r="H847" s="22"/>
      <c r="I847" s="22"/>
      <c r="J847" s="22"/>
      <c r="K847" s="22"/>
      <c r="L847" s="74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73"/>
      <c r="H848" s="22"/>
      <c r="I848" s="22"/>
      <c r="J848" s="22"/>
      <c r="K848" s="22"/>
      <c r="L848" s="74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73"/>
      <c r="H849" s="22"/>
      <c r="I849" s="22"/>
      <c r="J849" s="22"/>
      <c r="K849" s="22"/>
      <c r="L849" s="74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73"/>
      <c r="H850" s="22"/>
      <c r="I850" s="22"/>
      <c r="J850" s="22"/>
      <c r="K850" s="22"/>
      <c r="L850" s="74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73"/>
      <c r="H851" s="22"/>
      <c r="I851" s="22"/>
      <c r="J851" s="22"/>
      <c r="K851" s="22"/>
      <c r="L851" s="74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73"/>
      <c r="H852" s="22"/>
      <c r="I852" s="22"/>
      <c r="J852" s="22"/>
      <c r="K852" s="22"/>
      <c r="L852" s="74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73"/>
      <c r="H853" s="22"/>
      <c r="I853" s="22"/>
      <c r="J853" s="22"/>
      <c r="K853" s="22"/>
      <c r="L853" s="74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73"/>
      <c r="H854" s="22"/>
      <c r="I854" s="22"/>
      <c r="J854" s="22"/>
      <c r="K854" s="22"/>
      <c r="L854" s="74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73"/>
      <c r="H855" s="22"/>
      <c r="I855" s="22"/>
      <c r="J855" s="22"/>
      <c r="K855" s="22"/>
      <c r="L855" s="74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73"/>
      <c r="H856" s="22"/>
      <c r="I856" s="22"/>
      <c r="J856" s="22"/>
      <c r="K856" s="22"/>
      <c r="L856" s="74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73"/>
      <c r="H857" s="22"/>
      <c r="I857" s="22"/>
      <c r="J857" s="22"/>
      <c r="K857" s="22"/>
      <c r="L857" s="74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73"/>
      <c r="H858" s="22"/>
      <c r="I858" s="22"/>
      <c r="J858" s="22"/>
      <c r="K858" s="22"/>
      <c r="L858" s="74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73"/>
      <c r="H859" s="22"/>
      <c r="I859" s="22"/>
      <c r="J859" s="22"/>
      <c r="K859" s="22"/>
      <c r="L859" s="74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73"/>
      <c r="H860" s="22"/>
      <c r="I860" s="22"/>
      <c r="J860" s="22"/>
      <c r="K860" s="22"/>
      <c r="L860" s="74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73"/>
      <c r="H861" s="22"/>
      <c r="I861" s="22"/>
      <c r="J861" s="22"/>
      <c r="K861" s="22"/>
      <c r="L861" s="74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73"/>
      <c r="H862" s="22"/>
      <c r="I862" s="22"/>
      <c r="J862" s="22"/>
      <c r="K862" s="22"/>
      <c r="L862" s="74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73"/>
      <c r="H863" s="22"/>
      <c r="I863" s="22"/>
      <c r="J863" s="22"/>
      <c r="K863" s="22"/>
      <c r="L863" s="74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73"/>
      <c r="H864" s="22"/>
      <c r="I864" s="22"/>
      <c r="J864" s="22"/>
      <c r="K864" s="22"/>
      <c r="L864" s="74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73"/>
      <c r="H865" s="22"/>
      <c r="I865" s="22"/>
      <c r="J865" s="22"/>
      <c r="K865" s="22"/>
      <c r="L865" s="74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73"/>
      <c r="H866" s="22"/>
      <c r="I866" s="22"/>
      <c r="J866" s="22"/>
      <c r="K866" s="22"/>
      <c r="L866" s="74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73"/>
      <c r="H867" s="22"/>
      <c r="I867" s="22"/>
      <c r="J867" s="22"/>
      <c r="K867" s="22"/>
      <c r="L867" s="74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73"/>
      <c r="H868" s="22"/>
      <c r="I868" s="22"/>
      <c r="J868" s="22"/>
      <c r="K868" s="22"/>
      <c r="L868" s="74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73"/>
      <c r="H869" s="22"/>
      <c r="I869" s="22"/>
      <c r="J869" s="22"/>
      <c r="K869" s="22"/>
      <c r="L869" s="74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73"/>
      <c r="H870" s="22"/>
      <c r="I870" s="22"/>
      <c r="J870" s="22"/>
      <c r="K870" s="22"/>
      <c r="L870" s="74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73"/>
      <c r="H871" s="22"/>
      <c r="I871" s="22"/>
      <c r="J871" s="22"/>
      <c r="K871" s="22"/>
      <c r="L871" s="74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73"/>
      <c r="H872" s="22"/>
      <c r="I872" s="22"/>
      <c r="J872" s="22"/>
      <c r="K872" s="22"/>
      <c r="L872" s="74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73"/>
      <c r="H873" s="22"/>
      <c r="I873" s="22"/>
      <c r="J873" s="22"/>
      <c r="K873" s="22"/>
      <c r="L873" s="74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73"/>
      <c r="H874" s="22"/>
      <c r="I874" s="22"/>
      <c r="J874" s="22"/>
      <c r="K874" s="22"/>
      <c r="L874" s="74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73"/>
      <c r="H875" s="22"/>
      <c r="I875" s="22"/>
      <c r="J875" s="22"/>
      <c r="K875" s="22"/>
      <c r="L875" s="74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73"/>
      <c r="H876" s="22"/>
      <c r="I876" s="22"/>
      <c r="J876" s="22"/>
      <c r="K876" s="22"/>
      <c r="L876" s="74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73"/>
      <c r="H877" s="22"/>
      <c r="I877" s="22"/>
      <c r="J877" s="22"/>
      <c r="K877" s="22"/>
      <c r="L877" s="74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73"/>
      <c r="H878" s="22"/>
      <c r="I878" s="22"/>
      <c r="J878" s="22"/>
      <c r="K878" s="22"/>
      <c r="L878" s="74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73"/>
      <c r="H879" s="22"/>
      <c r="I879" s="22"/>
      <c r="J879" s="22"/>
      <c r="K879" s="22"/>
      <c r="L879" s="74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73"/>
      <c r="H880" s="22"/>
      <c r="I880" s="22"/>
      <c r="J880" s="22"/>
      <c r="K880" s="22"/>
      <c r="L880" s="74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73"/>
      <c r="H881" s="22"/>
      <c r="I881" s="22"/>
      <c r="J881" s="22"/>
      <c r="K881" s="22"/>
      <c r="L881" s="74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73"/>
      <c r="H882" s="22"/>
      <c r="I882" s="22"/>
      <c r="J882" s="22"/>
      <c r="K882" s="22"/>
      <c r="L882" s="74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73"/>
      <c r="H883" s="22"/>
      <c r="I883" s="22"/>
      <c r="J883" s="22"/>
      <c r="K883" s="22"/>
      <c r="L883" s="74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73"/>
      <c r="H884" s="22"/>
      <c r="I884" s="22"/>
      <c r="J884" s="22"/>
      <c r="K884" s="22"/>
      <c r="L884" s="74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73"/>
      <c r="H885" s="22"/>
      <c r="I885" s="22"/>
      <c r="J885" s="22"/>
      <c r="K885" s="22"/>
      <c r="L885" s="74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73"/>
      <c r="H886" s="22"/>
      <c r="I886" s="22"/>
      <c r="J886" s="22"/>
      <c r="K886" s="22"/>
      <c r="L886" s="74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73"/>
      <c r="H887" s="22"/>
      <c r="I887" s="22"/>
      <c r="J887" s="22"/>
      <c r="K887" s="22"/>
      <c r="L887" s="74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73"/>
      <c r="H888" s="22"/>
      <c r="I888" s="22"/>
      <c r="J888" s="22"/>
      <c r="K888" s="22"/>
      <c r="L888" s="74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73"/>
      <c r="H889" s="22"/>
      <c r="I889" s="22"/>
      <c r="J889" s="22"/>
      <c r="K889" s="22"/>
      <c r="L889" s="74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73"/>
      <c r="H890" s="22"/>
      <c r="I890" s="22"/>
      <c r="J890" s="22"/>
      <c r="K890" s="22"/>
      <c r="L890" s="74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73"/>
      <c r="H891" s="22"/>
      <c r="I891" s="22"/>
      <c r="J891" s="22"/>
      <c r="K891" s="22"/>
      <c r="L891" s="74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73"/>
      <c r="H892" s="22"/>
      <c r="I892" s="22"/>
      <c r="J892" s="22"/>
      <c r="K892" s="22"/>
      <c r="L892" s="74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73"/>
      <c r="H893" s="22"/>
      <c r="I893" s="22"/>
      <c r="J893" s="22"/>
      <c r="K893" s="22"/>
      <c r="L893" s="74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73"/>
      <c r="H894" s="22"/>
      <c r="I894" s="22"/>
      <c r="J894" s="22"/>
      <c r="K894" s="22"/>
      <c r="L894" s="74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73"/>
      <c r="H895" s="22"/>
      <c r="I895" s="22"/>
      <c r="J895" s="22"/>
      <c r="K895" s="22"/>
      <c r="L895" s="74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73"/>
      <c r="H896" s="22"/>
      <c r="I896" s="22"/>
      <c r="J896" s="22"/>
      <c r="K896" s="22"/>
      <c r="L896" s="74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73"/>
      <c r="H897" s="22"/>
      <c r="I897" s="22"/>
      <c r="J897" s="22"/>
      <c r="K897" s="22"/>
      <c r="L897" s="74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73"/>
      <c r="H898" s="22"/>
      <c r="I898" s="22"/>
      <c r="J898" s="22"/>
      <c r="K898" s="22"/>
      <c r="L898" s="74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73"/>
      <c r="H899" s="22"/>
      <c r="I899" s="22"/>
      <c r="J899" s="22"/>
      <c r="K899" s="22"/>
      <c r="L899" s="74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73"/>
      <c r="H900" s="22"/>
      <c r="I900" s="22"/>
      <c r="J900" s="22"/>
      <c r="K900" s="22"/>
      <c r="L900" s="74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73"/>
      <c r="H901" s="22"/>
      <c r="I901" s="22"/>
      <c r="J901" s="22"/>
      <c r="K901" s="22"/>
      <c r="L901" s="74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73"/>
      <c r="H902" s="22"/>
      <c r="I902" s="22"/>
      <c r="J902" s="22"/>
      <c r="K902" s="22"/>
      <c r="L902" s="74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73"/>
      <c r="H903" s="22"/>
      <c r="I903" s="22"/>
      <c r="J903" s="22"/>
      <c r="K903" s="22"/>
      <c r="L903" s="74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73"/>
      <c r="H904" s="22"/>
      <c r="I904" s="22"/>
      <c r="J904" s="22"/>
      <c r="K904" s="22"/>
      <c r="L904" s="74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73"/>
      <c r="H905" s="22"/>
      <c r="I905" s="22"/>
      <c r="J905" s="22"/>
      <c r="K905" s="22"/>
      <c r="L905" s="74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73"/>
      <c r="H906" s="22"/>
      <c r="I906" s="22"/>
      <c r="J906" s="22"/>
      <c r="K906" s="22"/>
      <c r="L906" s="74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73"/>
      <c r="H907" s="22"/>
      <c r="I907" s="22"/>
      <c r="J907" s="22"/>
      <c r="K907" s="22"/>
      <c r="L907" s="74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73"/>
      <c r="H908" s="22"/>
      <c r="I908" s="22"/>
      <c r="J908" s="22"/>
      <c r="K908" s="22"/>
      <c r="L908" s="74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73"/>
      <c r="H909" s="22"/>
      <c r="I909" s="22"/>
      <c r="J909" s="22"/>
      <c r="K909" s="22"/>
      <c r="L909" s="74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73"/>
      <c r="H910" s="22"/>
      <c r="I910" s="22"/>
      <c r="J910" s="22"/>
      <c r="K910" s="22"/>
      <c r="L910" s="74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73"/>
      <c r="H911" s="22"/>
      <c r="I911" s="22"/>
      <c r="J911" s="22"/>
      <c r="K911" s="22"/>
      <c r="L911" s="74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73"/>
      <c r="H912" s="22"/>
      <c r="I912" s="22"/>
      <c r="J912" s="22"/>
      <c r="K912" s="22"/>
      <c r="L912" s="74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73"/>
      <c r="H913" s="22"/>
      <c r="I913" s="22"/>
      <c r="J913" s="22"/>
      <c r="K913" s="22"/>
      <c r="L913" s="74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73"/>
      <c r="H914" s="22"/>
      <c r="I914" s="22"/>
      <c r="J914" s="22"/>
      <c r="K914" s="22"/>
      <c r="L914" s="74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73"/>
      <c r="H915" s="22"/>
      <c r="I915" s="22"/>
      <c r="J915" s="22"/>
      <c r="K915" s="22"/>
      <c r="L915" s="74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73"/>
      <c r="H916" s="22"/>
      <c r="I916" s="22"/>
      <c r="J916" s="22"/>
      <c r="K916" s="22"/>
      <c r="L916" s="74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73"/>
      <c r="H917" s="22"/>
      <c r="I917" s="22"/>
      <c r="J917" s="22"/>
      <c r="K917" s="22"/>
      <c r="L917" s="74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73"/>
      <c r="H918" s="22"/>
      <c r="I918" s="22"/>
      <c r="J918" s="22"/>
      <c r="K918" s="22"/>
      <c r="L918" s="74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73"/>
      <c r="H919" s="22"/>
      <c r="I919" s="22"/>
      <c r="J919" s="22"/>
      <c r="K919" s="22"/>
      <c r="L919" s="74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73"/>
      <c r="H920" s="22"/>
      <c r="I920" s="22"/>
      <c r="J920" s="22"/>
      <c r="K920" s="22"/>
      <c r="L920" s="74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73"/>
      <c r="H921" s="22"/>
      <c r="I921" s="22"/>
      <c r="J921" s="22"/>
      <c r="K921" s="22"/>
      <c r="L921" s="74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73"/>
      <c r="H922" s="22"/>
      <c r="I922" s="22"/>
      <c r="J922" s="22"/>
      <c r="K922" s="22"/>
      <c r="L922" s="74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73"/>
      <c r="H923" s="22"/>
      <c r="I923" s="22"/>
      <c r="J923" s="22"/>
      <c r="K923" s="22"/>
      <c r="L923" s="74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73"/>
      <c r="H924" s="22"/>
      <c r="I924" s="22"/>
      <c r="J924" s="22"/>
      <c r="K924" s="22"/>
      <c r="L924" s="74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73"/>
      <c r="H925" s="22"/>
      <c r="I925" s="22"/>
      <c r="J925" s="22"/>
      <c r="K925" s="22"/>
      <c r="L925" s="74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73"/>
      <c r="H926" s="22"/>
      <c r="I926" s="22"/>
      <c r="J926" s="22"/>
      <c r="K926" s="22"/>
      <c r="L926" s="74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73"/>
      <c r="H927" s="22"/>
      <c r="I927" s="22"/>
      <c r="J927" s="22"/>
      <c r="K927" s="22"/>
      <c r="L927" s="74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73"/>
      <c r="H928" s="22"/>
      <c r="I928" s="22"/>
      <c r="J928" s="22"/>
      <c r="K928" s="22"/>
      <c r="L928" s="74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73"/>
      <c r="H929" s="22"/>
      <c r="I929" s="22"/>
      <c r="J929" s="22"/>
      <c r="K929" s="22"/>
      <c r="L929" s="74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73"/>
      <c r="H930" s="22"/>
      <c r="I930" s="22"/>
      <c r="J930" s="22"/>
      <c r="K930" s="22"/>
      <c r="L930" s="74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73"/>
      <c r="H931" s="22"/>
      <c r="I931" s="22"/>
      <c r="J931" s="22"/>
      <c r="K931" s="22"/>
      <c r="L931" s="74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73"/>
      <c r="H932" s="22"/>
      <c r="I932" s="22"/>
      <c r="J932" s="22"/>
      <c r="K932" s="22"/>
      <c r="L932" s="74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73"/>
      <c r="H933" s="22"/>
      <c r="I933" s="22"/>
      <c r="J933" s="22"/>
      <c r="K933" s="22"/>
      <c r="L933" s="74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73"/>
      <c r="H934" s="22"/>
      <c r="I934" s="22"/>
      <c r="J934" s="22"/>
      <c r="K934" s="22"/>
      <c r="L934" s="74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73"/>
      <c r="H935" s="22"/>
      <c r="I935" s="22"/>
      <c r="J935" s="22"/>
      <c r="K935" s="22"/>
      <c r="L935" s="74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73"/>
      <c r="H936" s="22"/>
      <c r="I936" s="22"/>
      <c r="J936" s="22"/>
      <c r="K936" s="22"/>
      <c r="L936" s="74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73"/>
      <c r="H937" s="22"/>
      <c r="I937" s="22"/>
      <c r="J937" s="22"/>
      <c r="K937" s="22"/>
      <c r="L937" s="74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73"/>
      <c r="H938" s="22"/>
      <c r="I938" s="22"/>
      <c r="J938" s="22"/>
      <c r="K938" s="22"/>
      <c r="L938" s="74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73"/>
      <c r="H939" s="22"/>
      <c r="I939" s="22"/>
      <c r="J939" s="22"/>
      <c r="K939" s="22"/>
      <c r="L939" s="74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73"/>
      <c r="H940" s="22"/>
      <c r="I940" s="22"/>
      <c r="J940" s="22"/>
      <c r="K940" s="22"/>
      <c r="L940" s="74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73"/>
      <c r="H941" s="22"/>
      <c r="I941" s="22"/>
      <c r="J941" s="22"/>
      <c r="K941" s="22"/>
      <c r="L941" s="74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73"/>
      <c r="H942" s="22"/>
      <c r="I942" s="22"/>
      <c r="J942" s="22"/>
      <c r="K942" s="22"/>
      <c r="L942" s="74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73"/>
      <c r="H943" s="22"/>
      <c r="I943" s="22"/>
      <c r="J943" s="22"/>
      <c r="K943" s="22"/>
      <c r="L943" s="74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73"/>
      <c r="H944" s="22"/>
      <c r="I944" s="22"/>
      <c r="J944" s="22"/>
      <c r="K944" s="22"/>
      <c r="L944" s="74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73"/>
      <c r="H945" s="22"/>
      <c r="I945" s="22"/>
      <c r="J945" s="22"/>
      <c r="K945" s="22"/>
      <c r="L945" s="74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73"/>
      <c r="H946" s="22"/>
      <c r="I946" s="22"/>
      <c r="J946" s="22"/>
      <c r="K946" s="22"/>
      <c r="L946" s="74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73"/>
      <c r="H947" s="22"/>
      <c r="I947" s="22"/>
      <c r="J947" s="22"/>
      <c r="K947" s="22"/>
      <c r="L947" s="74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73"/>
      <c r="H948" s="22"/>
      <c r="I948" s="22"/>
      <c r="J948" s="22"/>
      <c r="K948" s="22"/>
      <c r="L948" s="74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73"/>
      <c r="H949" s="22"/>
      <c r="I949" s="22"/>
      <c r="J949" s="22"/>
      <c r="K949" s="22"/>
      <c r="L949" s="74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73"/>
      <c r="H950" s="22"/>
      <c r="I950" s="22"/>
      <c r="J950" s="22"/>
      <c r="K950" s="22"/>
      <c r="L950" s="74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73"/>
      <c r="H951" s="22"/>
      <c r="I951" s="22"/>
      <c r="J951" s="22"/>
      <c r="K951" s="22"/>
      <c r="L951" s="74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73"/>
      <c r="H952" s="22"/>
      <c r="I952" s="22"/>
      <c r="J952" s="22"/>
      <c r="K952" s="22"/>
      <c r="L952" s="74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73"/>
      <c r="H953" s="22"/>
      <c r="I953" s="22"/>
      <c r="J953" s="22"/>
      <c r="K953" s="22"/>
      <c r="L953" s="74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73"/>
      <c r="H954" s="22"/>
      <c r="I954" s="22"/>
      <c r="J954" s="22"/>
      <c r="K954" s="22"/>
      <c r="L954" s="74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73"/>
      <c r="H955" s="22"/>
      <c r="I955" s="22"/>
      <c r="J955" s="22"/>
      <c r="K955" s="22"/>
      <c r="L955" s="74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73"/>
      <c r="H956" s="22"/>
      <c r="I956" s="22"/>
      <c r="J956" s="22"/>
      <c r="K956" s="22"/>
      <c r="L956" s="74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73"/>
      <c r="H957" s="22"/>
      <c r="I957" s="22"/>
      <c r="J957" s="22"/>
      <c r="K957" s="22"/>
      <c r="L957" s="74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73"/>
      <c r="H958" s="22"/>
      <c r="I958" s="22"/>
      <c r="J958" s="22"/>
      <c r="K958" s="22"/>
      <c r="L958" s="74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73"/>
      <c r="H959" s="22"/>
      <c r="I959" s="22"/>
      <c r="J959" s="22"/>
      <c r="K959" s="22"/>
      <c r="L959" s="74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B960" s="22"/>
      <c r="G960" s="88"/>
      <c r="J960" s="89"/>
      <c r="L960" s="90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B961" s="22"/>
      <c r="G961" s="88"/>
      <c r="J961" s="89"/>
      <c r="L961" s="90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B962" s="22"/>
      <c r="G962" s="88"/>
      <c r="J962" s="89"/>
      <c r="L962" s="90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B963" s="22"/>
      <c r="G963" s="88"/>
      <c r="J963" s="89"/>
      <c r="L963" s="90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B964" s="22"/>
      <c r="G964" s="88"/>
      <c r="J964" s="89"/>
      <c r="L964" s="90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B965" s="22"/>
      <c r="G965" s="88"/>
      <c r="J965" s="89"/>
      <c r="L965" s="90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B966" s="22"/>
      <c r="G966" s="88"/>
      <c r="J966" s="89"/>
      <c r="L966" s="90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B967" s="22"/>
      <c r="G967" s="88"/>
      <c r="J967" s="89"/>
      <c r="L967" s="90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B968" s="22"/>
      <c r="G968" s="88"/>
      <c r="J968" s="89"/>
      <c r="L968" s="90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B969" s="22"/>
      <c r="G969" s="88"/>
      <c r="J969" s="89"/>
      <c r="L969" s="90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B970" s="22"/>
      <c r="G970" s="88"/>
      <c r="J970" s="89"/>
      <c r="L970" s="90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B971" s="22"/>
      <c r="G971" s="88"/>
      <c r="J971" s="89"/>
      <c r="L971" s="90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B972" s="22"/>
      <c r="G972" s="88"/>
      <c r="J972" s="89"/>
      <c r="L972" s="90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B973" s="22"/>
      <c r="G973" s="88"/>
      <c r="J973" s="89"/>
      <c r="L973" s="90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B974" s="22"/>
      <c r="G974" s="88"/>
      <c r="J974" s="89"/>
      <c r="L974" s="90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B975" s="22"/>
      <c r="G975" s="88"/>
      <c r="J975" s="89"/>
      <c r="L975" s="90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B976" s="22"/>
      <c r="G976" s="88"/>
      <c r="J976" s="89"/>
      <c r="L976" s="90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B977" s="22"/>
      <c r="G977" s="88"/>
      <c r="J977" s="89"/>
      <c r="L977" s="90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B978" s="22"/>
      <c r="G978" s="88"/>
      <c r="J978" s="89"/>
      <c r="L978" s="90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</sheetData>
  <autoFilter ref="$A$1:$N$230"/>
  <dataValidations>
    <dataValidation type="list" allowBlank="1" showErrorMessage="1" sqref="H2:H230">
      <formula1>"YES,NO"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71"/>
    <hyperlink r:id="rId65" ref="G72"/>
    <hyperlink r:id="rId66" ref="G73"/>
    <hyperlink r:id="rId67" ref="G74"/>
    <hyperlink r:id="rId68" ref="G90"/>
    <hyperlink r:id="rId69" ref="G98"/>
    <hyperlink r:id="rId70" ref="G99"/>
    <hyperlink r:id="rId71" ref="G100"/>
    <hyperlink r:id="rId72" ref="G113"/>
    <hyperlink r:id="rId73" ref="G114"/>
    <hyperlink r:id="rId74" ref="G118"/>
    <hyperlink r:id="rId75" ref="G119"/>
    <hyperlink r:id="rId76" ref="G120"/>
    <hyperlink r:id="rId77" ref="G121"/>
    <hyperlink r:id="rId78" ref="G122"/>
    <hyperlink r:id="rId79" ref="G123"/>
    <hyperlink r:id="rId80" ref="G124"/>
    <hyperlink r:id="rId81" ref="G125"/>
    <hyperlink r:id="rId82" ref="G126"/>
    <hyperlink r:id="rId83" ref="G127"/>
    <hyperlink r:id="rId84" ref="G128"/>
    <hyperlink r:id="rId85" ref="G129"/>
    <hyperlink r:id="rId86" ref="G130"/>
    <hyperlink r:id="rId87" ref="G131"/>
    <hyperlink r:id="rId88" ref="G132"/>
    <hyperlink r:id="rId89" ref="G133"/>
    <hyperlink r:id="rId90" ref="G134"/>
    <hyperlink r:id="rId91" ref="G135"/>
    <hyperlink r:id="rId92" ref="G136"/>
    <hyperlink r:id="rId93" ref="G137"/>
    <hyperlink r:id="rId94" ref="G138"/>
    <hyperlink r:id="rId95" ref="G139"/>
    <hyperlink r:id="rId96" ref="G140"/>
    <hyperlink r:id="rId97" ref="G141"/>
    <hyperlink r:id="rId98" ref="G142"/>
    <hyperlink r:id="rId99" ref="G143"/>
    <hyperlink r:id="rId100" ref="G144"/>
    <hyperlink r:id="rId101" ref="G145"/>
    <hyperlink r:id="rId102" ref="G146"/>
    <hyperlink r:id="rId103" ref="G147"/>
    <hyperlink r:id="rId104" ref="G148"/>
    <hyperlink r:id="rId105" ref="G149"/>
    <hyperlink r:id="rId106" ref="G150"/>
    <hyperlink r:id="rId107" ref="G151"/>
    <hyperlink r:id="rId108" ref="G152"/>
    <hyperlink r:id="rId109" ref="G153"/>
    <hyperlink r:id="rId110" ref="G154"/>
    <hyperlink r:id="rId111" ref="G155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1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1.86"/>
    <col customWidth="1" min="3" max="3" width="34.86"/>
    <col customWidth="1" min="4" max="4" width="11.43"/>
    <col customWidth="1" min="5" max="6" width="29.29"/>
    <col customWidth="1" min="10" max="10" width="15.29"/>
    <col customWidth="1" min="11" max="11" width="15.0"/>
    <col customWidth="1" min="12" max="12" width="10.29"/>
    <col customWidth="1" min="13" max="13" width="19.71"/>
  </cols>
  <sheetData>
    <row r="1">
      <c r="A1" s="2" t="s">
        <v>1</v>
      </c>
      <c r="B1" s="2" t="s">
        <v>7</v>
      </c>
      <c r="C1" s="2" t="s">
        <v>8</v>
      </c>
      <c r="D1" s="14"/>
      <c r="E1" s="14"/>
      <c r="F1" s="2" t="s">
        <v>12</v>
      </c>
      <c r="G1" s="2" t="s">
        <v>7</v>
      </c>
      <c r="H1" s="2" t="s">
        <v>15</v>
      </c>
      <c r="J1" s="2" t="s">
        <v>17</v>
      </c>
      <c r="K1" s="2" t="s">
        <v>7</v>
      </c>
    </row>
    <row r="2">
      <c r="A2" s="21" t="s">
        <v>21</v>
      </c>
      <c r="B2" s="2">
        <v>1180.0</v>
      </c>
      <c r="C2" s="21" t="s">
        <v>24</v>
      </c>
      <c r="D2" s="14"/>
      <c r="E2" s="14"/>
      <c r="F2" s="21" t="s">
        <v>25</v>
      </c>
      <c r="G2" s="23">
        <v>65.0</v>
      </c>
      <c r="H2" s="25">
        <v>52.5</v>
      </c>
      <c r="J2" s="2" t="s">
        <v>29</v>
      </c>
      <c r="K2" s="23"/>
      <c r="M2" s="29" t="s">
        <v>25</v>
      </c>
      <c r="N2" s="30"/>
      <c r="O2" s="30">
        <v>52.5</v>
      </c>
    </row>
    <row r="3">
      <c r="A3" s="21" t="s">
        <v>32</v>
      </c>
      <c r="B3" s="2">
        <v>880.0</v>
      </c>
      <c r="C3" s="21" t="s">
        <v>24</v>
      </c>
      <c r="D3" s="14"/>
      <c r="E3" s="14"/>
      <c r="F3" s="21" t="s">
        <v>33</v>
      </c>
      <c r="G3" s="23">
        <v>65.0</v>
      </c>
      <c r="H3" s="25">
        <v>52.5</v>
      </c>
      <c r="J3" s="2" t="s">
        <v>34</v>
      </c>
      <c r="K3" s="23"/>
      <c r="M3" s="29" t="s">
        <v>33</v>
      </c>
      <c r="N3" s="30"/>
      <c r="O3" s="30">
        <v>52.5</v>
      </c>
    </row>
    <row r="4">
      <c r="A4" s="21" t="s">
        <v>35</v>
      </c>
      <c r="B4" s="2">
        <v>1140.0</v>
      </c>
      <c r="C4" s="21" t="s">
        <v>24</v>
      </c>
      <c r="D4" s="14"/>
      <c r="E4" s="14"/>
      <c r="F4" s="21" t="s">
        <v>36</v>
      </c>
      <c r="G4" s="23">
        <v>65.0</v>
      </c>
      <c r="H4" s="25">
        <v>52.5</v>
      </c>
      <c r="J4" s="2" t="s">
        <v>37</v>
      </c>
      <c r="K4" s="23"/>
      <c r="M4" s="29" t="s">
        <v>36</v>
      </c>
      <c r="N4" s="30"/>
      <c r="O4" s="30">
        <v>52.5</v>
      </c>
    </row>
    <row r="5">
      <c r="A5" s="21" t="s">
        <v>38</v>
      </c>
      <c r="B5" s="2">
        <v>1880.0</v>
      </c>
      <c r="C5" s="21" t="s">
        <v>24</v>
      </c>
      <c r="D5" s="14"/>
      <c r="E5" s="14"/>
      <c r="F5" s="21" t="s">
        <v>39</v>
      </c>
      <c r="G5" s="23">
        <v>65.0</v>
      </c>
      <c r="H5" s="25">
        <v>52.5</v>
      </c>
      <c r="J5" s="2" t="s">
        <v>41</v>
      </c>
      <c r="K5" s="23"/>
      <c r="M5" s="29" t="s">
        <v>39</v>
      </c>
      <c r="N5" s="30"/>
      <c r="O5" s="30">
        <v>52.5</v>
      </c>
    </row>
    <row r="6">
      <c r="A6" s="21" t="s">
        <v>42</v>
      </c>
      <c r="B6" s="2">
        <v>880.0</v>
      </c>
      <c r="C6" s="21" t="s">
        <v>24</v>
      </c>
      <c r="D6" s="14"/>
      <c r="E6" s="14"/>
      <c r="F6" s="21" t="s">
        <v>44</v>
      </c>
      <c r="G6" s="23">
        <v>65.0</v>
      </c>
      <c r="H6" s="25">
        <v>52.5</v>
      </c>
      <c r="J6" s="2" t="s">
        <v>45</v>
      </c>
      <c r="K6" s="23"/>
      <c r="M6" s="29" t="s">
        <v>44</v>
      </c>
      <c r="N6" s="30"/>
      <c r="O6" s="30">
        <v>52.5</v>
      </c>
    </row>
    <row r="7">
      <c r="A7" s="21" t="s">
        <v>46</v>
      </c>
      <c r="B7" s="2">
        <v>1880.0</v>
      </c>
      <c r="C7" s="21" t="s">
        <v>24</v>
      </c>
      <c r="D7" s="14"/>
      <c r="E7" s="14"/>
      <c r="F7" s="21" t="s">
        <v>47</v>
      </c>
      <c r="G7" s="23">
        <v>65.0</v>
      </c>
      <c r="H7" s="25">
        <v>52.5</v>
      </c>
      <c r="J7" s="2" t="s">
        <v>48</v>
      </c>
      <c r="K7" s="23"/>
      <c r="M7" s="29" t="s">
        <v>47</v>
      </c>
      <c r="N7" s="30"/>
      <c r="O7" s="30">
        <v>52.5</v>
      </c>
    </row>
    <row r="8">
      <c r="A8" s="21" t="s">
        <v>50</v>
      </c>
      <c r="B8" s="2">
        <v>1840.0</v>
      </c>
      <c r="C8" s="21" t="s">
        <v>24</v>
      </c>
      <c r="D8" s="14"/>
      <c r="E8" s="14"/>
      <c r="F8" s="21" t="s">
        <v>52</v>
      </c>
      <c r="G8" s="23">
        <v>95.0</v>
      </c>
      <c r="H8" s="25">
        <v>73.5</v>
      </c>
      <c r="J8" s="2" t="s">
        <v>53</v>
      </c>
      <c r="K8" s="23"/>
      <c r="M8" s="29" t="s">
        <v>52</v>
      </c>
      <c r="N8" s="30"/>
      <c r="O8" s="30">
        <v>73.5</v>
      </c>
    </row>
    <row r="9">
      <c r="A9" s="21" t="s">
        <v>54</v>
      </c>
      <c r="B9" s="2">
        <v>1280.0</v>
      </c>
      <c r="C9" s="21" t="s">
        <v>24</v>
      </c>
      <c r="D9" s="14"/>
      <c r="E9" s="14"/>
      <c r="F9" s="21" t="s">
        <v>55</v>
      </c>
      <c r="G9" s="23">
        <v>95.0</v>
      </c>
      <c r="H9" s="25">
        <v>73.5</v>
      </c>
      <c r="J9" s="2"/>
      <c r="K9" s="23"/>
      <c r="M9" s="29" t="s">
        <v>55</v>
      </c>
      <c r="N9" s="30"/>
      <c r="O9" s="30">
        <v>73.5</v>
      </c>
    </row>
    <row r="10">
      <c r="A10" s="21" t="s">
        <v>57</v>
      </c>
      <c r="B10" s="2">
        <v>1380.0</v>
      </c>
      <c r="C10" s="21" t="s">
        <v>24</v>
      </c>
      <c r="D10" s="14"/>
      <c r="E10" s="14"/>
      <c r="F10" s="21" t="s">
        <v>58</v>
      </c>
      <c r="G10" s="23">
        <v>95.0</v>
      </c>
      <c r="H10" s="25">
        <v>73.5</v>
      </c>
      <c r="J10" s="2"/>
      <c r="K10" s="23"/>
      <c r="M10" s="29" t="s">
        <v>58</v>
      </c>
      <c r="N10" s="30"/>
      <c r="O10" s="30">
        <v>73.5</v>
      </c>
    </row>
    <row r="11">
      <c r="A11" s="2" t="s">
        <v>59</v>
      </c>
      <c r="B11" s="2">
        <v>1280.0</v>
      </c>
      <c r="C11" s="2" t="s">
        <v>60</v>
      </c>
      <c r="D11" s="14"/>
      <c r="E11" s="14"/>
      <c r="F11" s="21" t="s">
        <v>61</v>
      </c>
      <c r="G11" s="23">
        <v>95.0</v>
      </c>
      <c r="H11" s="25">
        <v>73.5</v>
      </c>
      <c r="J11" s="2"/>
      <c r="K11" s="23"/>
      <c r="M11" s="29" t="s">
        <v>61</v>
      </c>
      <c r="N11" s="30"/>
      <c r="O11" s="30">
        <v>73.5</v>
      </c>
    </row>
    <row r="12">
      <c r="A12" s="2" t="s">
        <v>62</v>
      </c>
      <c r="B12" s="2">
        <v>1480.0</v>
      </c>
      <c r="C12" s="2" t="s">
        <v>60</v>
      </c>
      <c r="D12" s="14"/>
      <c r="E12" s="14"/>
      <c r="F12" s="21" t="s">
        <v>63</v>
      </c>
      <c r="G12" s="23">
        <v>95.0</v>
      </c>
      <c r="H12" s="25">
        <v>73.5</v>
      </c>
      <c r="J12" s="2"/>
      <c r="K12" s="23"/>
      <c r="M12" s="29" t="s">
        <v>63</v>
      </c>
      <c r="N12" s="30"/>
      <c r="O12" s="30">
        <v>73.5</v>
      </c>
    </row>
    <row r="13">
      <c r="A13" s="2" t="s">
        <v>64</v>
      </c>
      <c r="B13" s="2">
        <v>1580.0</v>
      </c>
      <c r="C13" s="2" t="s">
        <v>60</v>
      </c>
      <c r="D13" s="14"/>
      <c r="E13" s="14"/>
      <c r="F13" s="21" t="s">
        <v>65</v>
      </c>
      <c r="G13" s="23">
        <v>95.0</v>
      </c>
      <c r="H13" s="25">
        <v>73.5</v>
      </c>
      <c r="J13" s="2"/>
      <c r="K13" s="23"/>
      <c r="M13" s="29" t="s">
        <v>65</v>
      </c>
      <c r="N13" s="30"/>
      <c r="O13" s="30">
        <v>73.5</v>
      </c>
    </row>
    <row r="14">
      <c r="A14" s="2" t="s">
        <v>66</v>
      </c>
      <c r="B14" s="2">
        <v>1580.0</v>
      </c>
      <c r="C14" s="21" t="s">
        <v>60</v>
      </c>
      <c r="D14" s="14"/>
      <c r="E14" s="14"/>
      <c r="F14" s="21" t="s">
        <v>68</v>
      </c>
      <c r="G14" s="23">
        <v>95.0</v>
      </c>
      <c r="H14" s="25">
        <v>73.5</v>
      </c>
      <c r="J14" s="2"/>
      <c r="K14" s="23"/>
      <c r="M14" s="29" t="s">
        <v>68</v>
      </c>
      <c r="N14" s="30"/>
      <c r="O14" s="30">
        <v>73.5</v>
      </c>
    </row>
    <row r="15">
      <c r="A15" s="2" t="s">
        <v>69</v>
      </c>
      <c r="B15" s="2">
        <v>1280.0</v>
      </c>
      <c r="C15" s="21" t="s">
        <v>60</v>
      </c>
      <c r="D15" s="14"/>
      <c r="E15" s="14"/>
      <c r="F15" s="21" t="s">
        <v>70</v>
      </c>
      <c r="G15" s="23">
        <v>95.0</v>
      </c>
      <c r="H15" s="25">
        <v>73.5</v>
      </c>
      <c r="M15" s="29" t="s">
        <v>70</v>
      </c>
      <c r="N15" s="30"/>
      <c r="O15" s="30">
        <v>73.5</v>
      </c>
    </row>
    <row r="16">
      <c r="A16" s="21" t="s">
        <v>71</v>
      </c>
      <c r="B16" s="2">
        <v>1880.0</v>
      </c>
      <c r="C16" s="2" t="s">
        <v>72</v>
      </c>
      <c r="D16" s="14"/>
      <c r="E16" s="14"/>
      <c r="F16" s="21" t="s">
        <v>73</v>
      </c>
      <c r="G16" s="23">
        <v>95.0</v>
      </c>
      <c r="H16" s="25">
        <v>73.5</v>
      </c>
      <c r="M16" s="29" t="s">
        <v>73</v>
      </c>
      <c r="N16" s="30"/>
      <c r="O16" s="30">
        <v>73.5</v>
      </c>
    </row>
    <row r="17">
      <c r="A17" s="21" t="s">
        <v>74</v>
      </c>
      <c r="B17" s="2">
        <v>780.0</v>
      </c>
      <c r="C17" s="2" t="s">
        <v>72</v>
      </c>
      <c r="D17" s="14"/>
      <c r="E17" s="14"/>
      <c r="F17" s="21" t="s">
        <v>75</v>
      </c>
      <c r="G17" s="23">
        <v>95.0</v>
      </c>
      <c r="H17" s="25">
        <v>73.5</v>
      </c>
      <c r="M17" s="29" t="s">
        <v>75</v>
      </c>
      <c r="N17" s="30"/>
      <c r="O17" s="30">
        <v>73.5</v>
      </c>
    </row>
    <row r="18">
      <c r="A18" s="21" t="s">
        <v>76</v>
      </c>
      <c r="B18" s="2">
        <v>940.0</v>
      </c>
      <c r="C18" s="2" t="s">
        <v>72</v>
      </c>
      <c r="D18" s="14"/>
      <c r="E18" s="14"/>
      <c r="F18" s="21" t="s">
        <v>77</v>
      </c>
      <c r="G18" s="23">
        <v>95.0</v>
      </c>
      <c r="H18" s="25">
        <v>73.5</v>
      </c>
      <c r="M18" s="29" t="s">
        <v>77</v>
      </c>
      <c r="N18" s="30"/>
      <c r="O18" s="30">
        <v>73.5</v>
      </c>
    </row>
    <row r="19">
      <c r="A19" s="2" t="s">
        <v>79</v>
      </c>
      <c r="B19" s="2">
        <v>1480.0</v>
      </c>
      <c r="C19" s="2" t="s">
        <v>72</v>
      </c>
      <c r="D19" s="14"/>
      <c r="E19" s="14"/>
      <c r="F19" s="21" t="s">
        <v>80</v>
      </c>
      <c r="G19" s="23">
        <v>95.0</v>
      </c>
      <c r="H19" s="25">
        <v>73.5</v>
      </c>
      <c r="M19" s="29" t="s">
        <v>80</v>
      </c>
      <c r="N19" s="30"/>
      <c r="O19" s="30">
        <v>73.5</v>
      </c>
    </row>
    <row r="20">
      <c r="A20" s="2" t="s">
        <v>82</v>
      </c>
      <c r="B20" s="2">
        <v>1480.0</v>
      </c>
      <c r="C20" s="2" t="s">
        <v>72</v>
      </c>
      <c r="D20" s="14"/>
      <c r="E20" s="14"/>
      <c r="F20" s="21" t="s">
        <v>84</v>
      </c>
      <c r="G20" s="23">
        <v>95.0</v>
      </c>
      <c r="H20" s="25">
        <v>73.5</v>
      </c>
      <c r="M20" s="29" t="s">
        <v>84</v>
      </c>
      <c r="N20" s="30"/>
      <c r="O20" s="30">
        <v>73.5</v>
      </c>
    </row>
    <row r="21">
      <c r="A21" s="21" t="s">
        <v>87</v>
      </c>
      <c r="B21" s="2">
        <v>1480.0</v>
      </c>
      <c r="C21" s="2" t="s">
        <v>88</v>
      </c>
      <c r="D21" s="14"/>
      <c r="E21" s="14"/>
      <c r="F21" s="21" t="s">
        <v>89</v>
      </c>
      <c r="G21" s="23">
        <v>95.0</v>
      </c>
      <c r="H21" s="25">
        <v>73.5</v>
      </c>
      <c r="M21" s="29" t="s">
        <v>89</v>
      </c>
      <c r="N21" s="30"/>
      <c r="O21" s="30">
        <v>73.5</v>
      </c>
    </row>
    <row r="22">
      <c r="A22" s="21" t="s">
        <v>92</v>
      </c>
      <c r="B22" s="2">
        <v>1480.0</v>
      </c>
      <c r="C22" s="2" t="s">
        <v>88</v>
      </c>
      <c r="D22" s="14"/>
      <c r="E22" s="14"/>
      <c r="F22" s="21" t="s">
        <v>94</v>
      </c>
      <c r="G22" s="23">
        <v>140.0</v>
      </c>
      <c r="H22" s="25">
        <v>105.0</v>
      </c>
      <c r="M22" s="29" t="s">
        <v>94</v>
      </c>
      <c r="N22" s="30"/>
      <c r="O22" s="30">
        <v>105.0</v>
      </c>
    </row>
    <row r="23">
      <c r="A23" s="2" t="s">
        <v>96</v>
      </c>
      <c r="B23" s="2">
        <v>1480.0</v>
      </c>
      <c r="C23" s="2" t="s">
        <v>88</v>
      </c>
      <c r="D23" s="14"/>
      <c r="E23" s="14"/>
      <c r="F23" s="21" t="s">
        <v>98</v>
      </c>
      <c r="G23" s="23">
        <v>140.0</v>
      </c>
      <c r="H23" s="25">
        <v>105.0</v>
      </c>
      <c r="M23" s="29" t="s">
        <v>98</v>
      </c>
      <c r="N23" s="30"/>
      <c r="O23" s="30">
        <v>105.0</v>
      </c>
    </row>
    <row r="24">
      <c r="A24" s="2" t="s">
        <v>101</v>
      </c>
      <c r="B24" s="2">
        <v>1480.0</v>
      </c>
      <c r="C24" s="2" t="s">
        <v>88</v>
      </c>
      <c r="D24" s="14"/>
      <c r="E24" s="14"/>
      <c r="F24" s="21" t="s">
        <v>103</v>
      </c>
      <c r="G24" s="23">
        <v>140.0</v>
      </c>
      <c r="H24" s="25">
        <v>105.0</v>
      </c>
      <c r="M24" s="29" t="s">
        <v>103</v>
      </c>
      <c r="N24" s="30"/>
      <c r="O24" s="30">
        <v>105.0</v>
      </c>
    </row>
    <row r="25">
      <c r="A25" s="21" t="s">
        <v>105</v>
      </c>
      <c r="B25" s="2">
        <v>1880.0</v>
      </c>
      <c r="C25" s="2" t="s">
        <v>88</v>
      </c>
      <c r="D25" s="14"/>
      <c r="E25" s="14"/>
      <c r="F25" s="21" t="s">
        <v>106</v>
      </c>
      <c r="G25" s="23">
        <v>140.0</v>
      </c>
      <c r="H25" s="25">
        <v>105.0</v>
      </c>
      <c r="M25" s="29" t="s">
        <v>106</v>
      </c>
      <c r="N25" s="30"/>
      <c r="O25" s="30">
        <v>105.0</v>
      </c>
    </row>
    <row r="26">
      <c r="A26" s="21" t="s">
        <v>107</v>
      </c>
      <c r="B26" s="2">
        <v>1480.0</v>
      </c>
      <c r="C26" s="2" t="s">
        <v>88</v>
      </c>
      <c r="D26" s="14"/>
      <c r="E26" s="14"/>
      <c r="F26" s="21" t="s">
        <v>108</v>
      </c>
      <c r="G26" s="23">
        <v>140.0</v>
      </c>
      <c r="H26" s="25">
        <v>105.0</v>
      </c>
      <c r="M26" s="29" t="s">
        <v>108</v>
      </c>
      <c r="N26" s="30"/>
      <c r="O26" s="30">
        <v>105.0</v>
      </c>
    </row>
    <row r="27">
      <c r="A27" s="2" t="s">
        <v>110</v>
      </c>
      <c r="B27" s="2">
        <v>2050.0</v>
      </c>
      <c r="C27" s="2" t="s">
        <v>88</v>
      </c>
      <c r="D27" s="14"/>
      <c r="E27" s="14"/>
      <c r="F27" s="21" t="s">
        <v>111</v>
      </c>
      <c r="G27" s="23">
        <v>140.0</v>
      </c>
      <c r="H27" s="25">
        <v>105.0</v>
      </c>
      <c r="M27" s="29" t="s">
        <v>111</v>
      </c>
      <c r="N27" s="30"/>
      <c r="O27" s="30">
        <v>105.0</v>
      </c>
    </row>
    <row r="28">
      <c r="A28" s="2" t="s">
        <v>112</v>
      </c>
      <c r="B28" s="2">
        <v>2050.0</v>
      </c>
      <c r="C28" s="2" t="s">
        <v>88</v>
      </c>
      <c r="D28" s="14"/>
      <c r="E28" s="14"/>
      <c r="F28" s="21" t="s">
        <v>113</v>
      </c>
      <c r="G28" s="23">
        <v>140.0</v>
      </c>
      <c r="H28" s="25">
        <v>105.0</v>
      </c>
      <c r="M28" s="29" t="s">
        <v>113</v>
      </c>
      <c r="N28" s="30"/>
      <c r="O28" s="30">
        <v>105.0</v>
      </c>
    </row>
    <row r="29">
      <c r="A29" s="2" t="s">
        <v>114</v>
      </c>
      <c r="B29" s="2">
        <v>2600.0</v>
      </c>
      <c r="C29" s="2" t="s">
        <v>88</v>
      </c>
      <c r="D29" s="14"/>
      <c r="E29" s="14"/>
      <c r="F29" s="21" t="s">
        <v>115</v>
      </c>
      <c r="G29" s="23">
        <v>140.0</v>
      </c>
      <c r="H29" s="25">
        <v>105.0</v>
      </c>
      <c r="M29" s="29" t="s">
        <v>115</v>
      </c>
      <c r="N29" s="30"/>
      <c r="O29" s="30">
        <v>105.0</v>
      </c>
    </row>
    <row r="30">
      <c r="A30" s="2" t="s">
        <v>116</v>
      </c>
      <c r="B30" s="2">
        <v>1880.0</v>
      </c>
      <c r="C30" s="2" t="s">
        <v>88</v>
      </c>
      <c r="D30" s="14"/>
      <c r="E30" s="14"/>
      <c r="F30" s="21" t="s">
        <v>117</v>
      </c>
      <c r="G30" s="23">
        <v>170.0</v>
      </c>
      <c r="H30" s="25">
        <v>131.25</v>
      </c>
      <c r="M30" s="29" t="s">
        <v>117</v>
      </c>
      <c r="N30" s="30"/>
      <c r="O30" s="30">
        <v>131.25</v>
      </c>
    </row>
    <row r="31">
      <c r="A31" s="2" t="s">
        <v>118</v>
      </c>
      <c r="B31" s="2">
        <v>1480.0</v>
      </c>
      <c r="C31" s="2" t="s">
        <v>88</v>
      </c>
      <c r="D31" s="14"/>
      <c r="E31" s="14"/>
      <c r="F31" s="21" t="s">
        <v>119</v>
      </c>
      <c r="G31" s="23">
        <v>170.0</v>
      </c>
      <c r="H31" s="25">
        <v>131.25</v>
      </c>
      <c r="M31" s="29" t="s">
        <v>119</v>
      </c>
      <c r="N31" s="30"/>
      <c r="O31" s="30">
        <v>131.25</v>
      </c>
    </row>
    <row r="32">
      <c r="A32" s="2"/>
      <c r="B32" s="2"/>
      <c r="C32" s="2"/>
      <c r="E32" s="14"/>
      <c r="F32" s="21" t="s">
        <v>122</v>
      </c>
      <c r="G32" s="23">
        <v>170.0</v>
      </c>
      <c r="H32" s="25">
        <v>131.25</v>
      </c>
      <c r="M32" s="29" t="s">
        <v>122</v>
      </c>
      <c r="N32" s="30"/>
      <c r="O32" s="30">
        <v>131.25</v>
      </c>
    </row>
    <row r="33">
      <c r="A33" s="2"/>
      <c r="B33" s="2"/>
      <c r="C33" s="2"/>
      <c r="E33" s="14"/>
      <c r="F33" s="21" t="s">
        <v>123</v>
      </c>
      <c r="G33" s="23">
        <v>170.0</v>
      </c>
      <c r="H33" s="25">
        <v>131.25</v>
      </c>
      <c r="M33" s="29" t="s">
        <v>123</v>
      </c>
      <c r="N33" s="30"/>
      <c r="O33" s="30">
        <v>131.25</v>
      </c>
    </row>
    <row r="34">
      <c r="A34" s="2"/>
      <c r="B34" s="2"/>
      <c r="C34" s="2"/>
      <c r="E34" s="14"/>
      <c r="F34" s="21" t="s">
        <v>124</v>
      </c>
      <c r="G34" s="23">
        <v>170.0</v>
      </c>
      <c r="H34" s="25">
        <v>131.25</v>
      </c>
      <c r="M34" s="29" t="s">
        <v>124</v>
      </c>
      <c r="N34" s="30"/>
      <c r="O34" s="30">
        <v>131.25</v>
      </c>
    </row>
    <row r="35">
      <c r="A35" s="2"/>
      <c r="B35" s="2"/>
      <c r="C35" s="2"/>
      <c r="E35" s="14"/>
      <c r="F35" s="21" t="s">
        <v>125</v>
      </c>
      <c r="G35" s="23">
        <v>170.0</v>
      </c>
      <c r="H35" s="25">
        <v>131.25</v>
      </c>
      <c r="M35" s="29" t="s">
        <v>125</v>
      </c>
      <c r="N35" s="30"/>
      <c r="O35" s="30">
        <v>131.25</v>
      </c>
    </row>
    <row r="36">
      <c r="A36" s="2"/>
      <c r="B36" s="2"/>
      <c r="C36" s="2"/>
      <c r="E36" s="14"/>
      <c r="F36" s="21" t="s">
        <v>127</v>
      </c>
      <c r="G36" s="23">
        <v>170.0</v>
      </c>
      <c r="H36" s="25">
        <v>131.25</v>
      </c>
      <c r="M36" s="29" t="s">
        <v>127</v>
      </c>
      <c r="N36" s="30"/>
      <c r="O36" s="30">
        <v>131.25</v>
      </c>
    </row>
    <row r="37">
      <c r="A37" s="2"/>
      <c r="B37" s="2"/>
      <c r="C37" s="2"/>
      <c r="E37" s="14"/>
      <c r="F37" s="21" t="s">
        <v>128</v>
      </c>
      <c r="G37" s="23">
        <v>220.0</v>
      </c>
      <c r="H37" s="25">
        <v>168.0</v>
      </c>
      <c r="M37" s="29" t="s">
        <v>128</v>
      </c>
      <c r="N37" s="30"/>
      <c r="O37" s="30">
        <v>168.0</v>
      </c>
    </row>
    <row r="38">
      <c r="A38" s="2"/>
      <c r="B38" s="2"/>
      <c r="C38" s="2"/>
      <c r="E38" s="14"/>
      <c r="F38" s="21" t="s">
        <v>130</v>
      </c>
      <c r="G38" s="23">
        <v>220.0</v>
      </c>
      <c r="H38" s="25">
        <v>168.0</v>
      </c>
      <c r="K38" s="51"/>
      <c r="L38" s="52"/>
      <c r="M38" s="29" t="s">
        <v>130</v>
      </c>
      <c r="N38" s="30"/>
      <c r="O38" s="30">
        <v>168.0</v>
      </c>
    </row>
    <row r="39">
      <c r="A39" s="2"/>
      <c r="B39" s="2"/>
      <c r="C39" s="2"/>
      <c r="E39" s="14"/>
      <c r="F39" s="21" t="s">
        <v>132</v>
      </c>
      <c r="G39" s="23">
        <v>220.0</v>
      </c>
      <c r="H39" s="25">
        <v>168.0</v>
      </c>
      <c r="K39" s="51"/>
      <c r="L39" s="52"/>
      <c r="M39" s="29" t="s">
        <v>132</v>
      </c>
      <c r="N39" s="30"/>
      <c r="O39" s="30">
        <v>168.0</v>
      </c>
    </row>
    <row r="40">
      <c r="A40" s="2"/>
      <c r="B40" s="2"/>
      <c r="C40" s="2"/>
      <c r="E40" s="14"/>
      <c r="F40" s="21" t="s">
        <v>133</v>
      </c>
      <c r="G40" s="23">
        <v>220.0</v>
      </c>
      <c r="H40" s="25">
        <v>168.0</v>
      </c>
      <c r="M40" s="29" t="s">
        <v>133</v>
      </c>
      <c r="N40" s="30"/>
      <c r="O40" s="30">
        <v>168.0</v>
      </c>
    </row>
    <row r="41">
      <c r="A41" s="2"/>
      <c r="B41" s="2"/>
      <c r="C41" s="2"/>
      <c r="E41" s="14"/>
      <c r="F41" s="21" t="s">
        <v>134</v>
      </c>
      <c r="G41" s="23">
        <v>220.0</v>
      </c>
      <c r="H41" s="25">
        <v>168.0</v>
      </c>
      <c r="M41" s="29" t="s">
        <v>134</v>
      </c>
      <c r="N41" s="30"/>
      <c r="O41" s="30">
        <v>168.0</v>
      </c>
    </row>
    <row r="42">
      <c r="A42" s="2"/>
      <c r="B42" s="2"/>
      <c r="C42" s="2"/>
      <c r="E42" s="14"/>
      <c r="F42" s="21" t="s">
        <v>136</v>
      </c>
      <c r="G42" s="23">
        <v>220.0</v>
      </c>
      <c r="H42" s="25">
        <v>168.0</v>
      </c>
      <c r="M42" s="29" t="s">
        <v>136</v>
      </c>
      <c r="N42" s="30"/>
      <c r="O42" s="30">
        <v>168.0</v>
      </c>
    </row>
    <row r="43">
      <c r="A43" s="2"/>
      <c r="B43" s="2"/>
      <c r="C43" s="2"/>
      <c r="E43" s="14"/>
      <c r="F43" s="21" t="s">
        <v>137</v>
      </c>
      <c r="G43" s="23">
        <v>235.0</v>
      </c>
      <c r="H43" s="25">
        <v>178.5</v>
      </c>
      <c r="K43" s="51"/>
      <c r="L43" s="52"/>
      <c r="M43" s="29" t="s">
        <v>137</v>
      </c>
      <c r="N43" s="30"/>
      <c r="O43" s="30">
        <v>178.5</v>
      </c>
    </row>
    <row r="44">
      <c r="A44" s="2"/>
      <c r="B44" s="2"/>
      <c r="C44" s="2"/>
      <c r="E44" s="14"/>
      <c r="F44" s="21" t="s">
        <v>139</v>
      </c>
      <c r="G44" s="23">
        <v>235.0</v>
      </c>
      <c r="H44" s="25">
        <v>178.5</v>
      </c>
      <c r="K44" s="51"/>
      <c r="L44" s="52"/>
      <c r="M44" s="29" t="s">
        <v>139</v>
      </c>
      <c r="N44" s="30"/>
      <c r="O44" s="30">
        <v>178.5</v>
      </c>
    </row>
    <row r="45">
      <c r="A45" s="2"/>
      <c r="B45" s="2"/>
      <c r="C45" s="2"/>
      <c r="E45" s="14"/>
      <c r="F45" s="21" t="s">
        <v>141</v>
      </c>
      <c r="G45" s="23">
        <v>235.0</v>
      </c>
      <c r="H45" s="25">
        <v>178.5</v>
      </c>
      <c r="K45" s="51"/>
      <c r="L45" s="52"/>
      <c r="M45" s="29" t="s">
        <v>141</v>
      </c>
      <c r="N45" s="30"/>
      <c r="O45" s="30">
        <v>178.5</v>
      </c>
    </row>
    <row r="46">
      <c r="A46" s="2"/>
      <c r="B46" s="2"/>
      <c r="C46" s="2"/>
      <c r="E46" s="14"/>
      <c r="F46" s="21" t="s">
        <v>142</v>
      </c>
      <c r="G46" s="23">
        <v>235.0</v>
      </c>
      <c r="H46" s="25">
        <v>178.5</v>
      </c>
      <c r="M46" s="29" t="s">
        <v>142</v>
      </c>
      <c r="N46" s="30"/>
      <c r="O46" s="30">
        <v>178.5</v>
      </c>
    </row>
    <row r="47">
      <c r="A47" s="2"/>
      <c r="B47" s="2"/>
      <c r="C47" s="2"/>
      <c r="E47" s="14"/>
      <c r="F47" s="21" t="s">
        <v>143</v>
      </c>
      <c r="G47" s="23">
        <v>235.0</v>
      </c>
      <c r="H47" s="25">
        <v>178.5</v>
      </c>
      <c r="M47" s="29" t="s">
        <v>143</v>
      </c>
      <c r="N47" s="30"/>
      <c r="O47" s="30">
        <v>178.5</v>
      </c>
    </row>
    <row r="48">
      <c r="A48" s="2"/>
      <c r="B48" s="2"/>
      <c r="C48" s="2"/>
      <c r="E48" s="14"/>
      <c r="F48" s="21" t="s">
        <v>145</v>
      </c>
      <c r="G48" s="23">
        <v>285.0</v>
      </c>
      <c r="H48" s="25">
        <v>220.5</v>
      </c>
      <c r="M48" s="29" t="s">
        <v>145</v>
      </c>
      <c r="N48" s="30"/>
      <c r="O48" s="30">
        <v>220.5</v>
      </c>
    </row>
    <row r="49">
      <c r="A49" s="2"/>
      <c r="B49" s="2"/>
      <c r="C49" s="2"/>
      <c r="E49" s="14"/>
      <c r="F49" s="21" t="s">
        <v>147</v>
      </c>
      <c r="G49" s="23">
        <v>285.0</v>
      </c>
      <c r="H49" s="25">
        <v>220.5</v>
      </c>
      <c r="M49" s="29" t="s">
        <v>147</v>
      </c>
      <c r="N49" s="30"/>
      <c r="O49" s="30">
        <v>220.5</v>
      </c>
    </row>
    <row r="50">
      <c r="A50" s="2"/>
      <c r="B50" s="2"/>
      <c r="C50" s="2"/>
      <c r="E50" s="14"/>
      <c r="F50" s="21" t="s">
        <v>148</v>
      </c>
      <c r="G50" s="23">
        <v>285.0</v>
      </c>
      <c r="H50" s="25">
        <v>220.5</v>
      </c>
      <c r="M50" s="29" t="s">
        <v>148</v>
      </c>
      <c r="N50" s="30"/>
      <c r="O50" s="30">
        <v>220.5</v>
      </c>
    </row>
    <row r="51">
      <c r="A51" s="2"/>
      <c r="B51" s="2"/>
      <c r="C51" s="2"/>
      <c r="E51" s="14"/>
      <c r="F51" s="21" t="s">
        <v>150</v>
      </c>
      <c r="G51" s="23">
        <v>285.0</v>
      </c>
      <c r="H51" s="25">
        <v>220.5</v>
      </c>
      <c r="M51" s="29" t="s">
        <v>150</v>
      </c>
      <c r="N51" s="30"/>
      <c r="O51" s="30">
        <v>220.5</v>
      </c>
    </row>
    <row r="52">
      <c r="A52" s="2"/>
      <c r="B52" s="2"/>
      <c r="C52" s="2"/>
      <c r="E52" s="14"/>
      <c r="F52" s="21" t="s">
        <v>152</v>
      </c>
      <c r="G52" s="23">
        <v>285.0</v>
      </c>
      <c r="H52" s="25">
        <v>220.5</v>
      </c>
      <c r="M52" s="29" t="s">
        <v>152</v>
      </c>
      <c r="N52" s="30"/>
      <c r="O52" s="30">
        <v>220.5</v>
      </c>
    </row>
    <row r="53">
      <c r="A53" s="2"/>
      <c r="B53" s="2"/>
      <c r="C53" s="2"/>
      <c r="E53" s="14"/>
      <c r="F53" s="21" t="s">
        <v>153</v>
      </c>
      <c r="G53" s="23">
        <v>390.0</v>
      </c>
      <c r="H53" s="25">
        <v>299.25</v>
      </c>
      <c r="M53" s="29" t="s">
        <v>153</v>
      </c>
      <c r="N53" s="30"/>
      <c r="O53" s="30">
        <v>299.25</v>
      </c>
    </row>
    <row r="54">
      <c r="A54" s="2"/>
      <c r="B54" s="2"/>
      <c r="C54" s="2"/>
      <c r="E54" s="14"/>
      <c r="F54" s="21" t="s">
        <v>154</v>
      </c>
      <c r="G54" s="23">
        <v>390.0</v>
      </c>
      <c r="H54" s="25">
        <v>299.25</v>
      </c>
      <c r="M54" s="29" t="s">
        <v>154</v>
      </c>
      <c r="N54" s="30"/>
      <c r="O54" s="30">
        <v>299.25</v>
      </c>
    </row>
    <row r="55">
      <c r="A55" s="2"/>
      <c r="B55" s="2"/>
      <c r="C55" s="2"/>
      <c r="E55" s="14"/>
      <c r="F55" s="21" t="s">
        <v>155</v>
      </c>
      <c r="G55" s="23">
        <v>390.0</v>
      </c>
      <c r="H55" s="25">
        <v>299.25</v>
      </c>
      <c r="M55" s="29" t="s">
        <v>155</v>
      </c>
      <c r="N55" s="30"/>
      <c r="O55" s="30">
        <v>299.25</v>
      </c>
    </row>
    <row r="56">
      <c r="A56" s="2"/>
      <c r="B56" s="2"/>
      <c r="C56" s="2"/>
      <c r="E56" s="14"/>
      <c r="F56" s="21" t="s">
        <v>156</v>
      </c>
      <c r="G56" s="23">
        <v>390.0</v>
      </c>
      <c r="H56" s="25">
        <v>299.25</v>
      </c>
      <c r="M56" s="29" t="s">
        <v>156</v>
      </c>
      <c r="N56" s="30"/>
      <c r="O56" s="30">
        <v>299.25</v>
      </c>
    </row>
    <row r="57">
      <c r="A57" s="2"/>
      <c r="B57" s="2"/>
      <c r="C57" s="2"/>
      <c r="E57" s="14"/>
      <c r="F57" s="21" t="s">
        <v>158</v>
      </c>
      <c r="G57" s="23">
        <v>390.0</v>
      </c>
      <c r="H57" s="25">
        <v>299.25</v>
      </c>
      <c r="M57" s="29" t="s">
        <v>158</v>
      </c>
      <c r="N57" s="30"/>
      <c r="O57" s="30">
        <v>299.25</v>
      </c>
    </row>
    <row r="58">
      <c r="A58" s="2"/>
      <c r="B58" s="2"/>
      <c r="C58" s="2"/>
      <c r="E58" s="14"/>
      <c r="F58" s="21" t="s">
        <v>159</v>
      </c>
      <c r="G58" s="23">
        <v>515.0</v>
      </c>
      <c r="H58" s="25">
        <v>393.75</v>
      </c>
      <c r="M58" s="29" t="s">
        <v>159</v>
      </c>
      <c r="N58" s="30"/>
      <c r="O58" s="30">
        <v>393.75</v>
      </c>
    </row>
    <row r="59">
      <c r="A59" s="2"/>
      <c r="B59" s="2"/>
      <c r="C59" s="2"/>
      <c r="E59" s="14"/>
      <c r="F59" s="21" t="s">
        <v>160</v>
      </c>
      <c r="G59" s="23">
        <v>515.0</v>
      </c>
      <c r="H59" s="25">
        <v>393.75</v>
      </c>
      <c r="M59" s="29" t="s">
        <v>160</v>
      </c>
      <c r="N59" s="30"/>
      <c r="O59" s="30">
        <v>393.75</v>
      </c>
    </row>
    <row r="60">
      <c r="A60" s="2"/>
      <c r="B60" s="2"/>
      <c r="C60" s="2"/>
      <c r="E60" s="14"/>
      <c r="F60" s="21" t="s">
        <v>162</v>
      </c>
      <c r="G60" s="23">
        <v>515.0</v>
      </c>
      <c r="H60" s="25">
        <v>393.75</v>
      </c>
      <c r="M60" s="29" t="s">
        <v>162</v>
      </c>
      <c r="N60" s="30"/>
      <c r="O60" s="30">
        <v>393.75</v>
      </c>
    </row>
    <row r="61">
      <c r="A61" s="2"/>
      <c r="B61" s="2"/>
      <c r="C61" s="2"/>
      <c r="E61" s="14"/>
      <c r="F61" s="21" t="s">
        <v>163</v>
      </c>
      <c r="G61" s="23">
        <v>415.0</v>
      </c>
      <c r="H61" s="25">
        <v>320.0</v>
      </c>
      <c r="M61" s="29" t="s">
        <v>163</v>
      </c>
      <c r="N61" s="30"/>
      <c r="O61" s="30">
        <v>320.0</v>
      </c>
    </row>
    <row r="62">
      <c r="A62" s="2"/>
      <c r="B62" s="2"/>
      <c r="C62" s="2"/>
      <c r="E62" s="14"/>
      <c r="F62" s="21" t="s">
        <v>164</v>
      </c>
      <c r="G62" s="23">
        <v>415.0</v>
      </c>
      <c r="H62" s="25">
        <v>320.0</v>
      </c>
      <c r="M62" s="29" t="s">
        <v>164</v>
      </c>
      <c r="N62" s="30"/>
      <c r="O62" s="30">
        <v>320.0</v>
      </c>
    </row>
    <row r="63">
      <c r="A63" s="2"/>
      <c r="B63" s="2"/>
      <c r="C63" s="2"/>
      <c r="E63" s="14"/>
      <c r="F63" s="21" t="s">
        <v>165</v>
      </c>
      <c r="G63" s="23">
        <v>415.0</v>
      </c>
      <c r="H63" s="25">
        <v>320.0</v>
      </c>
      <c r="M63" s="29" t="s">
        <v>165</v>
      </c>
      <c r="N63" s="30"/>
      <c r="O63" s="30">
        <v>320.0</v>
      </c>
    </row>
    <row r="64">
      <c r="A64" s="2"/>
      <c r="B64" s="2"/>
      <c r="C64" s="2"/>
      <c r="E64" s="14"/>
      <c r="F64" s="21" t="s">
        <v>166</v>
      </c>
      <c r="G64" s="23">
        <v>415.0</v>
      </c>
      <c r="H64" s="25">
        <v>320.0</v>
      </c>
      <c r="M64" s="29" t="s">
        <v>166</v>
      </c>
      <c r="N64" s="30"/>
      <c r="O64" s="30">
        <v>320.0</v>
      </c>
    </row>
    <row r="65">
      <c r="A65" s="2"/>
      <c r="B65" s="2"/>
      <c r="C65" s="2"/>
      <c r="E65" s="14"/>
      <c r="F65" s="21" t="s">
        <v>167</v>
      </c>
      <c r="G65" s="23">
        <v>415.0</v>
      </c>
      <c r="H65" s="25">
        <v>315.0</v>
      </c>
      <c r="M65" s="29" t="s">
        <v>167</v>
      </c>
      <c r="N65" s="30"/>
      <c r="O65" s="30">
        <v>315.0</v>
      </c>
    </row>
    <row r="66">
      <c r="A66" s="2"/>
      <c r="B66" s="2"/>
      <c r="C66" s="2"/>
      <c r="E66" s="14"/>
      <c r="F66" s="21" t="s">
        <v>170</v>
      </c>
      <c r="G66" s="23">
        <v>555.0</v>
      </c>
      <c r="H66" s="25">
        <v>425.0</v>
      </c>
      <c r="M66" s="29" t="s">
        <v>170</v>
      </c>
      <c r="N66" s="30"/>
      <c r="O66" s="30">
        <v>425.0</v>
      </c>
    </row>
    <row r="67">
      <c r="A67" s="2"/>
      <c r="B67" s="2"/>
      <c r="C67" s="2"/>
      <c r="E67" s="14"/>
      <c r="F67" s="21" t="s">
        <v>171</v>
      </c>
      <c r="G67" s="23">
        <v>555.0</v>
      </c>
      <c r="H67" s="25">
        <v>425.0</v>
      </c>
      <c r="M67" s="29" t="s">
        <v>171</v>
      </c>
      <c r="N67" s="30"/>
      <c r="O67" s="30">
        <v>425.0</v>
      </c>
    </row>
    <row r="68">
      <c r="A68" s="2"/>
      <c r="B68" s="2"/>
      <c r="C68" s="2"/>
      <c r="E68" s="14"/>
      <c r="F68" s="21" t="s">
        <v>173</v>
      </c>
      <c r="G68" s="23">
        <v>555.0</v>
      </c>
      <c r="H68" s="25">
        <v>425.0</v>
      </c>
      <c r="M68" s="29" t="s">
        <v>173</v>
      </c>
      <c r="N68" s="30"/>
      <c r="O68" s="30">
        <v>425.0</v>
      </c>
    </row>
    <row r="69">
      <c r="A69" s="2"/>
      <c r="B69" s="2"/>
      <c r="C69" s="2"/>
      <c r="E69" s="14"/>
      <c r="F69" s="21" t="s">
        <v>174</v>
      </c>
      <c r="G69" s="23">
        <v>595.0</v>
      </c>
      <c r="H69" s="25">
        <v>455.0</v>
      </c>
      <c r="M69" s="29" t="s">
        <v>174</v>
      </c>
      <c r="N69" s="30"/>
      <c r="O69" s="30">
        <v>455.0</v>
      </c>
    </row>
    <row r="70">
      <c r="A70" s="2"/>
      <c r="B70" s="2"/>
      <c r="C70" s="2"/>
      <c r="E70" s="14"/>
      <c r="F70" s="21" t="s">
        <v>175</v>
      </c>
      <c r="G70" s="23">
        <v>595.0</v>
      </c>
      <c r="H70" s="25">
        <v>455.0</v>
      </c>
      <c r="M70" s="29" t="s">
        <v>175</v>
      </c>
      <c r="N70" s="30"/>
      <c r="O70" s="30">
        <v>455.0</v>
      </c>
    </row>
    <row r="71">
      <c r="A71" s="2"/>
      <c r="B71" s="2"/>
      <c r="C71" s="2"/>
      <c r="E71" s="14"/>
      <c r="F71" s="21" t="s">
        <v>177</v>
      </c>
      <c r="G71" s="23">
        <v>365.0</v>
      </c>
      <c r="H71" s="25">
        <v>280.0</v>
      </c>
      <c r="M71" s="29" t="s">
        <v>177</v>
      </c>
      <c r="N71" s="30"/>
      <c r="O71" s="30">
        <v>280.0</v>
      </c>
    </row>
    <row r="72">
      <c r="A72" s="2"/>
      <c r="B72" s="2"/>
      <c r="C72" s="2"/>
      <c r="E72" s="14"/>
      <c r="F72" s="21" t="s">
        <v>178</v>
      </c>
      <c r="G72" s="23">
        <v>365.0</v>
      </c>
      <c r="H72" s="25">
        <v>280.0</v>
      </c>
      <c r="M72" s="29" t="s">
        <v>178</v>
      </c>
      <c r="N72" s="30"/>
      <c r="O72" s="30">
        <v>280.0</v>
      </c>
    </row>
    <row r="73">
      <c r="A73" s="2"/>
      <c r="B73" s="2"/>
      <c r="C73" s="2"/>
      <c r="E73" s="14"/>
      <c r="F73" s="21" t="s">
        <v>179</v>
      </c>
      <c r="G73" s="23">
        <v>365.0</v>
      </c>
      <c r="H73" s="25">
        <v>280.0</v>
      </c>
      <c r="M73" s="29" t="s">
        <v>179</v>
      </c>
      <c r="N73" s="30"/>
      <c r="O73" s="30">
        <v>280.0</v>
      </c>
    </row>
    <row r="74">
      <c r="A74" s="2"/>
      <c r="B74" s="2"/>
      <c r="C74" s="2"/>
      <c r="E74" s="14"/>
      <c r="F74" s="21" t="s">
        <v>181</v>
      </c>
      <c r="G74" s="23">
        <v>365.0</v>
      </c>
      <c r="H74" s="25">
        <v>280.0</v>
      </c>
      <c r="M74" s="29" t="s">
        <v>181</v>
      </c>
      <c r="N74" s="30"/>
      <c r="O74" s="30">
        <v>280.0</v>
      </c>
    </row>
    <row r="75">
      <c r="A75" s="2"/>
      <c r="B75" s="2"/>
      <c r="C75" s="2"/>
      <c r="E75" s="14"/>
      <c r="F75" s="21" t="s">
        <v>182</v>
      </c>
      <c r="G75" s="23">
        <v>345.0</v>
      </c>
      <c r="H75" s="25">
        <v>265.0</v>
      </c>
      <c r="M75" s="29" t="s">
        <v>182</v>
      </c>
      <c r="N75" s="30"/>
      <c r="O75" s="30">
        <v>265.0</v>
      </c>
    </row>
    <row r="76">
      <c r="A76" s="2"/>
      <c r="B76" s="2"/>
      <c r="C76" s="2"/>
      <c r="E76" s="14"/>
      <c r="F76" s="21" t="s">
        <v>183</v>
      </c>
      <c r="G76" s="23">
        <v>345.0</v>
      </c>
      <c r="H76" s="25">
        <v>265.0</v>
      </c>
      <c r="M76" s="29" t="s">
        <v>183</v>
      </c>
      <c r="N76" s="30"/>
      <c r="O76" s="30">
        <v>265.0</v>
      </c>
    </row>
    <row r="77">
      <c r="A77" s="2"/>
      <c r="B77" s="2"/>
      <c r="C77" s="2"/>
      <c r="E77" s="14"/>
      <c r="F77" s="21" t="s">
        <v>185</v>
      </c>
      <c r="G77" s="23">
        <v>490.0</v>
      </c>
      <c r="H77" s="25">
        <v>375.0</v>
      </c>
      <c r="M77" s="29" t="s">
        <v>185</v>
      </c>
      <c r="N77" s="30"/>
      <c r="O77" s="30">
        <v>375.0</v>
      </c>
    </row>
    <row r="78">
      <c r="A78" s="2"/>
      <c r="B78" s="2"/>
      <c r="C78" s="2"/>
      <c r="E78" s="14"/>
      <c r="F78" s="21" t="s">
        <v>186</v>
      </c>
      <c r="G78" s="23">
        <v>495.0</v>
      </c>
      <c r="H78" s="25">
        <v>380.0</v>
      </c>
      <c r="M78" s="29" t="s">
        <v>186</v>
      </c>
      <c r="N78" s="30"/>
      <c r="O78" s="30">
        <v>380.0</v>
      </c>
    </row>
    <row r="79">
      <c r="A79" s="2"/>
      <c r="B79" s="2"/>
      <c r="C79" s="2"/>
      <c r="E79" s="14"/>
      <c r="F79" s="21" t="s">
        <v>187</v>
      </c>
      <c r="G79" s="23">
        <v>495.0</v>
      </c>
      <c r="H79" s="25">
        <v>380.0</v>
      </c>
      <c r="M79" s="29" t="s">
        <v>187</v>
      </c>
      <c r="N79" s="30"/>
      <c r="O79" s="30">
        <v>380.0</v>
      </c>
    </row>
    <row r="80">
      <c r="A80" s="2"/>
      <c r="B80" s="2"/>
      <c r="C80" s="2"/>
      <c r="E80" s="14"/>
      <c r="F80" s="21" t="s">
        <v>188</v>
      </c>
      <c r="G80" s="23">
        <v>495.0</v>
      </c>
      <c r="H80" s="25">
        <v>380.0</v>
      </c>
      <c r="M80" s="29" t="s">
        <v>188</v>
      </c>
      <c r="N80" s="30"/>
      <c r="O80" s="30">
        <v>380.0</v>
      </c>
    </row>
    <row r="81">
      <c r="A81" s="2"/>
      <c r="B81" s="2"/>
      <c r="C81" s="2"/>
      <c r="E81" s="14"/>
      <c r="F81" s="21" t="s">
        <v>189</v>
      </c>
      <c r="G81" s="23">
        <v>495.0</v>
      </c>
      <c r="H81" s="25">
        <v>380.0</v>
      </c>
      <c r="M81" s="29" t="s">
        <v>189</v>
      </c>
      <c r="N81" s="30"/>
      <c r="O81" s="30">
        <v>380.0</v>
      </c>
    </row>
    <row r="82">
      <c r="A82" s="2"/>
      <c r="B82" s="2"/>
      <c r="C82" s="2"/>
      <c r="E82" s="14"/>
      <c r="F82" s="21" t="s">
        <v>190</v>
      </c>
      <c r="G82" s="23">
        <v>495.0</v>
      </c>
      <c r="H82" s="25">
        <v>380.0</v>
      </c>
      <c r="M82" s="29" t="s">
        <v>190</v>
      </c>
      <c r="N82" s="30"/>
      <c r="O82" s="30">
        <v>380.0</v>
      </c>
    </row>
    <row r="83">
      <c r="A83" s="2"/>
      <c r="B83" s="2"/>
      <c r="C83" s="2"/>
      <c r="E83" s="14"/>
      <c r="F83" s="21" t="s">
        <v>191</v>
      </c>
      <c r="G83" s="23">
        <v>495.0</v>
      </c>
      <c r="H83" s="25">
        <v>380.0</v>
      </c>
      <c r="M83" s="29" t="s">
        <v>191</v>
      </c>
      <c r="N83" s="30"/>
      <c r="O83" s="30">
        <v>380.0</v>
      </c>
    </row>
    <row r="84">
      <c r="A84" s="2"/>
      <c r="B84" s="2"/>
      <c r="C84" s="2"/>
      <c r="E84" s="14"/>
      <c r="F84" s="21" t="s">
        <v>192</v>
      </c>
      <c r="G84" s="23">
        <v>570.0</v>
      </c>
      <c r="H84" s="25">
        <v>435.0</v>
      </c>
      <c r="M84" s="29" t="s">
        <v>192</v>
      </c>
      <c r="N84" s="30"/>
      <c r="O84" s="30">
        <v>435.0</v>
      </c>
    </row>
    <row r="85">
      <c r="A85" s="2"/>
      <c r="B85" s="2"/>
      <c r="C85" s="2"/>
      <c r="E85" s="14"/>
      <c r="F85" s="21" t="s">
        <v>193</v>
      </c>
      <c r="G85" s="23">
        <v>675.0</v>
      </c>
      <c r="H85" s="25">
        <v>515.0</v>
      </c>
      <c r="M85" s="29" t="s">
        <v>193</v>
      </c>
      <c r="N85" s="30"/>
      <c r="O85" s="30">
        <v>515.0</v>
      </c>
    </row>
    <row r="86">
      <c r="A86" s="2"/>
      <c r="B86" s="2"/>
      <c r="C86" s="2"/>
      <c r="E86" s="14"/>
      <c r="F86" s="21" t="s">
        <v>194</v>
      </c>
      <c r="G86" s="23">
        <v>675.0</v>
      </c>
      <c r="H86" s="25">
        <v>515.0</v>
      </c>
      <c r="M86" s="29" t="s">
        <v>194</v>
      </c>
      <c r="N86" s="30"/>
      <c r="O86" s="30">
        <v>515.0</v>
      </c>
    </row>
    <row r="87">
      <c r="A87" s="2"/>
      <c r="B87" s="2"/>
      <c r="C87" s="2"/>
      <c r="E87" s="14"/>
      <c r="F87" s="21" t="s">
        <v>195</v>
      </c>
      <c r="G87" s="23">
        <v>675.0</v>
      </c>
      <c r="H87" s="25">
        <v>515.0</v>
      </c>
      <c r="M87" s="29" t="s">
        <v>195</v>
      </c>
      <c r="N87" s="30"/>
      <c r="O87" s="30">
        <v>515.0</v>
      </c>
    </row>
    <row r="88">
      <c r="A88" s="2"/>
      <c r="B88" s="2"/>
      <c r="C88" s="2"/>
      <c r="E88" s="14"/>
      <c r="F88" s="21" t="s">
        <v>197</v>
      </c>
      <c r="G88" s="23">
        <v>750.0</v>
      </c>
      <c r="H88" s="25">
        <v>575.0</v>
      </c>
      <c r="M88" s="29" t="s">
        <v>197</v>
      </c>
      <c r="N88" s="30"/>
      <c r="O88" s="30">
        <v>575.0</v>
      </c>
    </row>
    <row r="89">
      <c r="A89" s="2"/>
      <c r="B89" s="2"/>
      <c r="C89" s="2"/>
      <c r="E89" s="14"/>
      <c r="F89" s="21" t="s">
        <v>198</v>
      </c>
      <c r="G89" s="23">
        <v>750.0</v>
      </c>
      <c r="H89" s="25">
        <v>575.0</v>
      </c>
      <c r="M89" s="29" t="s">
        <v>198</v>
      </c>
      <c r="N89" s="30"/>
      <c r="O89" s="30">
        <v>575.0</v>
      </c>
    </row>
    <row r="90">
      <c r="A90" s="2"/>
      <c r="B90" s="2"/>
      <c r="C90" s="2"/>
      <c r="E90" s="14"/>
      <c r="F90" s="21" t="s">
        <v>199</v>
      </c>
      <c r="G90" s="23">
        <v>680.0</v>
      </c>
      <c r="H90" s="25">
        <v>515.0</v>
      </c>
      <c r="M90" s="29" t="s">
        <v>199</v>
      </c>
      <c r="N90" s="30"/>
      <c r="O90" s="30">
        <v>515.0</v>
      </c>
    </row>
    <row r="91">
      <c r="A91" s="2"/>
      <c r="B91" s="2"/>
      <c r="C91" s="2"/>
      <c r="E91" s="14"/>
      <c r="F91" s="21" t="s">
        <v>200</v>
      </c>
      <c r="G91" s="23">
        <v>820.0</v>
      </c>
      <c r="H91" s="25">
        <v>630.0</v>
      </c>
      <c r="M91" s="29" t="s">
        <v>200</v>
      </c>
      <c r="N91" s="30"/>
      <c r="O91" s="30">
        <v>630.0</v>
      </c>
    </row>
    <row r="92">
      <c r="A92" s="2"/>
      <c r="B92" s="2"/>
      <c r="C92" s="2"/>
      <c r="E92" s="14"/>
      <c r="F92" s="21" t="s">
        <v>201</v>
      </c>
      <c r="G92" s="23">
        <v>820.0</v>
      </c>
      <c r="H92" s="25">
        <v>630.0</v>
      </c>
      <c r="M92" s="29" t="s">
        <v>201</v>
      </c>
      <c r="N92" s="30"/>
      <c r="O92" s="30">
        <v>630.0</v>
      </c>
    </row>
    <row r="93">
      <c r="A93" s="2"/>
      <c r="B93" s="2"/>
      <c r="C93" s="2"/>
      <c r="E93" s="14"/>
      <c r="F93" s="21" t="s">
        <v>202</v>
      </c>
      <c r="G93" s="23">
        <v>820.0</v>
      </c>
      <c r="H93" s="25">
        <v>630.0</v>
      </c>
      <c r="M93" s="29" t="s">
        <v>202</v>
      </c>
      <c r="N93" s="30"/>
      <c r="O93" s="30">
        <v>630.0</v>
      </c>
    </row>
    <row r="94">
      <c r="A94" s="2"/>
      <c r="B94" s="2"/>
      <c r="C94" s="2"/>
      <c r="E94" s="14"/>
      <c r="F94" s="21" t="s">
        <v>203</v>
      </c>
      <c r="G94" s="23">
        <v>820.0</v>
      </c>
      <c r="H94" s="25">
        <v>630.0</v>
      </c>
      <c r="M94" s="29" t="s">
        <v>203</v>
      </c>
      <c r="N94" s="30"/>
      <c r="O94" s="30">
        <v>630.0</v>
      </c>
    </row>
    <row r="95">
      <c r="A95" s="2"/>
      <c r="B95" s="2"/>
      <c r="C95" s="2"/>
      <c r="E95" s="14"/>
      <c r="F95" s="21" t="s">
        <v>205</v>
      </c>
      <c r="G95" s="23">
        <v>790.0</v>
      </c>
      <c r="H95" s="25">
        <v>605.0</v>
      </c>
      <c r="M95" s="29" t="s">
        <v>205</v>
      </c>
      <c r="N95" s="30"/>
      <c r="O95" s="30">
        <v>605.0</v>
      </c>
    </row>
    <row r="96">
      <c r="A96" s="2"/>
      <c r="B96" s="2"/>
      <c r="C96" s="2"/>
      <c r="E96" s="14"/>
      <c r="F96" s="21" t="s">
        <v>207</v>
      </c>
      <c r="G96" s="23">
        <v>790.0</v>
      </c>
      <c r="H96" s="25">
        <v>605.0</v>
      </c>
      <c r="M96" s="29" t="s">
        <v>207</v>
      </c>
      <c r="N96" s="30"/>
      <c r="O96" s="30">
        <v>605.0</v>
      </c>
    </row>
    <row r="97">
      <c r="A97" s="2"/>
      <c r="B97" s="2"/>
      <c r="C97" s="2"/>
      <c r="E97" s="14"/>
      <c r="F97" s="21" t="s">
        <v>209</v>
      </c>
      <c r="G97" s="23">
        <v>895.0</v>
      </c>
      <c r="H97" s="25">
        <v>685.0</v>
      </c>
      <c r="M97" s="29" t="s">
        <v>209</v>
      </c>
      <c r="N97" s="30"/>
      <c r="O97" s="30">
        <v>685.0</v>
      </c>
    </row>
    <row r="98">
      <c r="A98" s="2"/>
      <c r="B98" s="2"/>
      <c r="C98" s="2"/>
      <c r="E98" s="14"/>
      <c r="F98" s="21" t="s">
        <v>210</v>
      </c>
      <c r="G98" s="23">
        <v>820.0</v>
      </c>
      <c r="H98" s="25">
        <v>630.0</v>
      </c>
      <c r="M98" s="29" t="s">
        <v>210</v>
      </c>
      <c r="N98" s="30"/>
      <c r="O98" s="30">
        <v>630.0</v>
      </c>
    </row>
    <row r="99">
      <c r="A99" s="2"/>
      <c r="B99" s="2"/>
      <c r="C99" s="2"/>
      <c r="E99" s="14"/>
      <c r="F99" s="21" t="s">
        <v>211</v>
      </c>
      <c r="G99" s="23">
        <v>820.0</v>
      </c>
      <c r="H99" s="25">
        <v>630.0</v>
      </c>
      <c r="M99" s="29" t="s">
        <v>211</v>
      </c>
      <c r="N99" s="30"/>
      <c r="O99" s="30">
        <v>630.0</v>
      </c>
    </row>
    <row r="100">
      <c r="A100" s="2"/>
      <c r="B100" s="2"/>
      <c r="C100" s="2"/>
      <c r="E100" s="14"/>
      <c r="F100" s="21" t="s">
        <v>212</v>
      </c>
      <c r="G100" s="23">
        <v>820.0</v>
      </c>
      <c r="H100" s="25">
        <v>630.0</v>
      </c>
      <c r="M100" s="29" t="s">
        <v>212</v>
      </c>
      <c r="N100" s="30"/>
      <c r="O100" s="30">
        <v>630.0</v>
      </c>
    </row>
    <row r="101">
      <c r="A101" s="2"/>
      <c r="B101" s="2"/>
      <c r="C101" s="2"/>
      <c r="E101" s="14"/>
      <c r="F101" s="21" t="s">
        <v>214</v>
      </c>
      <c r="G101" s="23">
        <v>85.0</v>
      </c>
      <c r="H101" s="25">
        <v>65.0</v>
      </c>
      <c r="M101" s="29" t="s">
        <v>214</v>
      </c>
      <c r="N101" s="30"/>
      <c r="O101" s="30">
        <v>65.0</v>
      </c>
    </row>
    <row r="102">
      <c r="A102" s="2"/>
      <c r="B102" s="2"/>
      <c r="C102" s="2"/>
      <c r="E102" s="14"/>
      <c r="F102" s="21" t="s">
        <v>215</v>
      </c>
      <c r="G102" s="23">
        <v>85.0</v>
      </c>
      <c r="H102" s="25">
        <v>65.0</v>
      </c>
      <c r="M102" s="29" t="s">
        <v>215</v>
      </c>
      <c r="N102" s="30"/>
      <c r="O102" s="30">
        <v>65.0</v>
      </c>
    </row>
    <row r="103">
      <c r="A103" s="2"/>
      <c r="B103" s="2"/>
      <c r="C103" s="2"/>
      <c r="E103" s="14"/>
      <c r="F103" s="21" t="s">
        <v>218</v>
      </c>
      <c r="G103" s="23">
        <v>150.0</v>
      </c>
      <c r="H103" s="25">
        <v>115.0</v>
      </c>
      <c r="M103" s="29" t="s">
        <v>218</v>
      </c>
      <c r="N103" s="30"/>
      <c r="O103" s="30">
        <v>115.0</v>
      </c>
    </row>
    <row r="104">
      <c r="A104" s="2"/>
      <c r="B104" s="2"/>
      <c r="C104" s="2"/>
      <c r="E104" s="14"/>
      <c r="F104" s="21" t="s">
        <v>219</v>
      </c>
      <c r="G104" s="23">
        <v>15.0</v>
      </c>
      <c r="H104" s="25">
        <v>115.0</v>
      </c>
      <c r="M104" s="29" t="s">
        <v>219</v>
      </c>
      <c r="N104" s="30"/>
      <c r="O104" s="30">
        <v>115.0</v>
      </c>
    </row>
    <row r="105">
      <c r="A105" s="2"/>
      <c r="B105" s="2"/>
      <c r="C105" s="2"/>
      <c r="E105" s="14"/>
      <c r="F105" s="21" t="s">
        <v>220</v>
      </c>
      <c r="G105" s="23">
        <v>170.0</v>
      </c>
      <c r="H105" s="25">
        <v>130.0</v>
      </c>
      <c r="M105" s="29" t="s">
        <v>220</v>
      </c>
      <c r="N105" s="30"/>
      <c r="O105" s="30">
        <v>130.0</v>
      </c>
    </row>
    <row r="106">
      <c r="A106" s="2"/>
      <c r="B106" s="2"/>
      <c r="C106" s="2"/>
      <c r="E106" s="14"/>
      <c r="F106" s="21" t="s">
        <v>221</v>
      </c>
      <c r="G106" s="23">
        <v>170.0</v>
      </c>
      <c r="H106" s="25">
        <v>130.0</v>
      </c>
      <c r="M106" s="29" t="s">
        <v>221</v>
      </c>
      <c r="N106" s="30"/>
      <c r="O106" s="30">
        <v>130.0</v>
      </c>
    </row>
    <row r="107">
      <c r="A107" s="2"/>
      <c r="B107" s="2"/>
      <c r="C107" s="2"/>
      <c r="E107" s="14"/>
      <c r="F107" s="21" t="s">
        <v>222</v>
      </c>
      <c r="G107" s="23">
        <v>235.0</v>
      </c>
      <c r="H107" s="25">
        <v>180.0</v>
      </c>
      <c r="M107" s="29" t="s">
        <v>222</v>
      </c>
      <c r="N107" s="30"/>
      <c r="O107" s="30">
        <v>180.0</v>
      </c>
    </row>
    <row r="108">
      <c r="A108" s="2"/>
      <c r="B108" s="2"/>
      <c r="C108" s="2"/>
      <c r="E108" s="14"/>
      <c r="F108" s="21" t="s">
        <v>224</v>
      </c>
      <c r="G108" s="23">
        <v>155.0</v>
      </c>
      <c r="H108" s="25">
        <v>120.0</v>
      </c>
      <c r="M108" s="29" t="s">
        <v>224</v>
      </c>
      <c r="N108" s="30"/>
      <c r="O108" s="30">
        <v>120.0</v>
      </c>
    </row>
    <row r="109">
      <c r="A109" s="2"/>
      <c r="B109" s="2"/>
      <c r="C109" s="2"/>
      <c r="E109" s="14"/>
      <c r="F109" s="21" t="s">
        <v>225</v>
      </c>
      <c r="G109" s="23">
        <v>155.0</v>
      </c>
      <c r="H109" s="25">
        <v>120.0</v>
      </c>
      <c r="M109" s="29" t="s">
        <v>225</v>
      </c>
      <c r="N109" s="30"/>
      <c r="O109" s="30">
        <v>120.0</v>
      </c>
    </row>
    <row r="110">
      <c r="A110" s="2"/>
      <c r="B110" s="2"/>
      <c r="C110" s="2"/>
      <c r="E110" s="14"/>
      <c r="F110" s="21" t="s">
        <v>129</v>
      </c>
      <c r="G110" s="23">
        <v>495.0</v>
      </c>
      <c r="H110" s="25">
        <v>380.0</v>
      </c>
      <c r="M110" s="29" t="s">
        <v>129</v>
      </c>
      <c r="N110" s="30"/>
      <c r="O110" s="30">
        <v>380.0</v>
      </c>
    </row>
    <row r="111">
      <c r="A111" s="2"/>
      <c r="B111" s="2"/>
      <c r="C111" s="2"/>
      <c r="E111" s="14"/>
      <c r="F111" s="21" t="s">
        <v>217</v>
      </c>
      <c r="G111" s="23">
        <v>820.0</v>
      </c>
      <c r="H111" s="25">
        <v>630.0</v>
      </c>
      <c r="M111" s="29" t="s">
        <v>217</v>
      </c>
      <c r="N111" s="30"/>
      <c r="O111" s="30">
        <v>630.0</v>
      </c>
    </row>
    <row r="112">
      <c r="A112" s="2"/>
      <c r="B112" s="2"/>
      <c r="C112" s="2"/>
      <c r="E112" s="14"/>
      <c r="F112" s="21" t="s">
        <v>227</v>
      </c>
      <c r="G112" s="23">
        <v>495.0</v>
      </c>
      <c r="H112" s="25">
        <v>380.0</v>
      </c>
      <c r="M112" s="29" t="s">
        <v>227</v>
      </c>
      <c r="N112" s="30"/>
      <c r="O112" s="30">
        <v>380.0</v>
      </c>
    </row>
    <row r="113">
      <c r="A113" s="2"/>
      <c r="B113" s="2"/>
      <c r="C113" s="2"/>
      <c r="E113" s="14"/>
      <c r="F113" s="21" t="s">
        <v>228</v>
      </c>
      <c r="G113" s="23">
        <v>155.0</v>
      </c>
      <c r="H113" s="25">
        <v>120.0</v>
      </c>
      <c r="M113" s="29" t="s">
        <v>228</v>
      </c>
      <c r="N113" s="30"/>
      <c r="O113" s="30">
        <v>120.0</v>
      </c>
    </row>
    <row r="114">
      <c r="A114" s="2"/>
      <c r="B114" s="2"/>
      <c r="C114" s="2"/>
      <c r="E114" s="14"/>
      <c r="F114" s="21" t="s">
        <v>230</v>
      </c>
      <c r="G114" s="23">
        <v>1150.0</v>
      </c>
      <c r="H114" s="23">
        <v>900.0</v>
      </c>
      <c r="M114" s="29" t="s">
        <v>230</v>
      </c>
      <c r="N114" s="30"/>
      <c r="O114" s="36"/>
      <c r="P114" s="30"/>
    </row>
    <row r="115">
      <c r="A115" s="2"/>
      <c r="B115" s="2"/>
      <c r="C115" s="2"/>
      <c r="E115" s="58"/>
      <c r="F115" s="21" t="s">
        <v>233</v>
      </c>
      <c r="G115" s="23">
        <v>820.0</v>
      </c>
      <c r="H115" s="25">
        <v>630.0</v>
      </c>
      <c r="M115" s="29" t="s">
        <v>233</v>
      </c>
      <c r="N115" s="30"/>
      <c r="O115" s="30">
        <v>630.0</v>
      </c>
    </row>
    <row r="116">
      <c r="A116" s="2"/>
      <c r="B116" s="2"/>
      <c r="C116" s="2"/>
      <c r="E116" s="58"/>
      <c r="F116" s="21" t="s">
        <v>234</v>
      </c>
      <c r="G116" s="23">
        <v>820.0</v>
      </c>
      <c r="H116" s="25">
        <v>630.0</v>
      </c>
      <c r="M116" s="29" t="s">
        <v>234</v>
      </c>
      <c r="N116" s="30"/>
      <c r="O116" s="30">
        <v>630.0</v>
      </c>
    </row>
    <row r="117">
      <c r="A117" s="2"/>
      <c r="B117" s="2"/>
      <c r="C117" s="2"/>
      <c r="E117" s="58"/>
      <c r="F117" s="21" t="s">
        <v>235</v>
      </c>
      <c r="G117" s="23">
        <v>820.0</v>
      </c>
      <c r="H117" s="25">
        <v>630.0</v>
      </c>
      <c r="M117" s="29" t="s">
        <v>235</v>
      </c>
      <c r="N117" s="30"/>
      <c r="O117" s="30">
        <v>630.0</v>
      </c>
    </row>
    <row r="118">
      <c r="A118" s="2"/>
      <c r="B118" s="2"/>
      <c r="C118" s="2"/>
      <c r="E118" s="58"/>
      <c r="F118" s="21" t="s">
        <v>236</v>
      </c>
      <c r="G118" s="23">
        <v>145.0</v>
      </c>
      <c r="H118" s="25">
        <v>110.0</v>
      </c>
      <c r="M118" s="29" t="s">
        <v>236</v>
      </c>
      <c r="N118" s="30"/>
      <c r="O118" s="30">
        <v>110.0</v>
      </c>
    </row>
    <row r="119">
      <c r="E119" s="58"/>
      <c r="F119" s="21" t="s">
        <v>237</v>
      </c>
      <c r="G119" s="23">
        <v>145.0</v>
      </c>
      <c r="H119" s="25">
        <v>110.0</v>
      </c>
      <c r="M119" s="29" t="s">
        <v>237</v>
      </c>
      <c r="N119" s="30"/>
      <c r="O119" s="30">
        <v>110.0</v>
      </c>
    </row>
    <row r="120">
      <c r="E120" s="58"/>
      <c r="F120" s="21" t="s">
        <v>238</v>
      </c>
      <c r="G120" s="23">
        <v>145.0</v>
      </c>
      <c r="H120" s="25">
        <v>110.0</v>
      </c>
      <c r="M120" s="29" t="s">
        <v>238</v>
      </c>
      <c r="N120" s="30"/>
      <c r="O120" s="30">
        <v>110.0</v>
      </c>
    </row>
    <row r="121">
      <c r="E121" s="58"/>
      <c r="F121" s="21" t="s">
        <v>239</v>
      </c>
      <c r="G121" s="23">
        <v>160.0</v>
      </c>
      <c r="H121" s="25">
        <v>120.0</v>
      </c>
      <c r="M121" s="29" t="s">
        <v>239</v>
      </c>
      <c r="N121" s="30"/>
      <c r="O121" s="30">
        <v>120.0</v>
      </c>
    </row>
    <row r="122">
      <c r="E122" s="58"/>
      <c r="F122" s="21" t="s">
        <v>240</v>
      </c>
      <c r="G122" s="23">
        <v>160.0</v>
      </c>
      <c r="H122" s="25">
        <v>120.0</v>
      </c>
      <c r="M122" s="29" t="s">
        <v>240</v>
      </c>
      <c r="N122" s="30"/>
      <c r="O122" s="30">
        <v>120.0</v>
      </c>
    </row>
    <row r="123">
      <c r="E123" s="58"/>
      <c r="F123" s="21" t="s">
        <v>242</v>
      </c>
      <c r="G123" s="23">
        <v>160.0</v>
      </c>
      <c r="H123" s="25">
        <v>120.0</v>
      </c>
      <c r="M123" s="29" t="s">
        <v>242</v>
      </c>
      <c r="N123" s="30"/>
      <c r="O123" s="30">
        <v>120.0</v>
      </c>
    </row>
    <row r="124">
      <c r="E124" s="58"/>
      <c r="F124" s="21" t="s">
        <v>243</v>
      </c>
      <c r="G124" s="23">
        <v>235.0</v>
      </c>
      <c r="H124" s="25">
        <v>180.0</v>
      </c>
      <c r="M124" s="29" t="s">
        <v>243</v>
      </c>
      <c r="N124" s="30"/>
      <c r="O124" s="30">
        <v>180.0</v>
      </c>
    </row>
    <row r="125">
      <c r="E125" s="58"/>
      <c r="F125" s="21" t="s">
        <v>244</v>
      </c>
      <c r="G125" s="23">
        <v>235.0</v>
      </c>
      <c r="H125" s="25">
        <v>180.0</v>
      </c>
      <c r="M125" s="29" t="s">
        <v>244</v>
      </c>
      <c r="N125" s="30"/>
      <c r="O125" s="30">
        <v>180.0</v>
      </c>
    </row>
    <row r="126">
      <c r="E126" s="58"/>
      <c r="F126" s="21" t="s">
        <v>245</v>
      </c>
      <c r="G126" s="23">
        <v>260.0</v>
      </c>
      <c r="H126" s="25">
        <v>199.0</v>
      </c>
      <c r="M126" s="29" t="s">
        <v>245</v>
      </c>
      <c r="N126" s="30"/>
      <c r="O126" s="30">
        <v>199.0</v>
      </c>
    </row>
    <row r="127">
      <c r="E127" s="58"/>
      <c r="F127" s="21" t="s">
        <v>246</v>
      </c>
      <c r="G127" s="23">
        <v>260.0</v>
      </c>
      <c r="H127" s="25">
        <v>199.0</v>
      </c>
      <c r="M127" s="29" t="s">
        <v>246</v>
      </c>
      <c r="N127" s="30"/>
      <c r="O127" s="30">
        <v>199.0</v>
      </c>
    </row>
    <row r="128">
      <c r="E128" s="58"/>
      <c r="F128" s="21" t="s">
        <v>247</v>
      </c>
      <c r="G128" s="23">
        <v>715.0</v>
      </c>
      <c r="H128" s="25">
        <v>549.0</v>
      </c>
      <c r="M128" s="29" t="s">
        <v>247</v>
      </c>
      <c r="N128" s="30"/>
      <c r="O128" s="30">
        <v>549.0</v>
      </c>
    </row>
    <row r="129">
      <c r="E129" s="58"/>
      <c r="F129" s="21" t="s">
        <v>248</v>
      </c>
      <c r="G129" s="25">
        <f>H129+H129*30/100</f>
        <v>1300</v>
      </c>
      <c r="H129" s="25">
        <v>1000.0</v>
      </c>
      <c r="M129" s="29" t="s">
        <v>248</v>
      </c>
      <c r="N129" s="30"/>
      <c r="O129" s="30">
        <v>1000.0</v>
      </c>
    </row>
    <row r="130">
      <c r="E130" s="58"/>
      <c r="F130" s="21" t="s">
        <v>252</v>
      </c>
      <c r="G130" s="23">
        <v>910.0</v>
      </c>
      <c r="H130" s="25">
        <v>699.0</v>
      </c>
      <c r="M130" s="29" t="s">
        <v>252</v>
      </c>
      <c r="N130" s="30"/>
      <c r="O130" s="30">
        <v>699.0</v>
      </c>
    </row>
    <row r="131">
      <c r="E131" s="58"/>
      <c r="F131" s="21" t="s">
        <v>253</v>
      </c>
      <c r="G131" s="23">
        <v>910.0</v>
      </c>
      <c r="H131" s="25">
        <v>699.0</v>
      </c>
      <c r="M131" s="29" t="s">
        <v>253</v>
      </c>
      <c r="N131" s="30"/>
      <c r="O131" s="30">
        <v>699.0</v>
      </c>
    </row>
    <row r="132">
      <c r="E132" s="58"/>
      <c r="F132" s="21" t="s">
        <v>254</v>
      </c>
      <c r="G132" s="23">
        <v>780.0</v>
      </c>
      <c r="H132" s="25">
        <v>599.0</v>
      </c>
      <c r="M132" s="29" t="s">
        <v>254</v>
      </c>
      <c r="N132" s="30"/>
      <c r="O132" s="30">
        <v>599.0</v>
      </c>
    </row>
    <row r="133">
      <c r="E133" s="58"/>
      <c r="F133" s="21" t="s">
        <v>256</v>
      </c>
      <c r="G133" s="23">
        <v>1170.0</v>
      </c>
      <c r="H133" s="25">
        <v>899.0</v>
      </c>
      <c r="M133" s="29" t="s">
        <v>256</v>
      </c>
      <c r="N133" s="30"/>
      <c r="O133" s="30">
        <v>899.0</v>
      </c>
    </row>
    <row r="134">
      <c r="E134" s="58"/>
      <c r="F134" s="21" t="s">
        <v>257</v>
      </c>
      <c r="G134" s="23">
        <v>1170.0</v>
      </c>
      <c r="H134" s="25">
        <v>899.0</v>
      </c>
      <c r="M134" s="29" t="s">
        <v>257</v>
      </c>
      <c r="N134" s="30"/>
      <c r="O134" s="30">
        <v>899.0</v>
      </c>
    </row>
    <row r="135">
      <c r="E135" s="58"/>
      <c r="F135" s="21" t="s">
        <v>258</v>
      </c>
      <c r="G135" s="23">
        <v>975.0</v>
      </c>
      <c r="H135" s="25">
        <v>751.0</v>
      </c>
      <c r="M135" s="29" t="s">
        <v>258</v>
      </c>
      <c r="N135" s="30"/>
      <c r="O135" s="30">
        <v>751.0</v>
      </c>
    </row>
    <row r="136">
      <c r="E136" s="58"/>
      <c r="F136" s="21" t="s">
        <v>259</v>
      </c>
      <c r="G136" s="23">
        <v>780.0</v>
      </c>
      <c r="H136" s="25">
        <v>599.0</v>
      </c>
      <c r="M136" s="29" t="s">
        <v>259</v>
      </c>
      <c r="N136" s="30"/>
      <c r="O136" s="30">
        <v>599.0</v>
      </c>
    </row>
    <row r="137">
      <c r="E137" s="58"/>
      <c r="F137" s="21" t="s">
        <v>261</v>
      </c>
      <c r="G137" s="23">
        <v>650.0</v>
      </c>
      <c r="H137" s="25">
        <v>499.0</v>
      </c>
      <c r="M137" s="29" t="s">
        <v>261</v>
      </c>
      <c r="N137" s="30"/>
      <c r="O137" s="30">
        <v>499.0</v>
      </c>
    </row>
    <row r="138">
      <c r="E138" s="58"/>
      <c r="F138" s="21" t="s">
        <v>262</v>
      </c>
      <c r="G138" s="23">
        <v>780.0</v>
      </c>
      <c r="H138" s="25">
        <v>599.0</v>
      </c>
      <c r="M138" s="29" t="s">
        <v>262</v>
      </c>
      <c r="N138" s="30"/>
      <c r="O138" s="30">
        <v>599.0</v>
      </c>
    </row>
    <row r="139">
      <c r="E139" s="58"/>
      <c r="F139" s="21" t="s">
        <v>263</v>
      </c>
      <c r="G139" s="23">
        <v>715.0</v>
      </c>
      <c r="H139" s="25">
        <v>549.0</v>
      </c>
      <c r="M139" s="29" t="s">
        <v>263</v>
      </c>
      <c r="N139" s="30"/>
      <c r="O139" s="30">
        <v>549.0</v>
      </c>
    </row>
    <row r="140">
      <c r="E140" s="58"/>
      <c r="F140" s="21" t="s">
        <v>264</v>
      </c>
      <c r="G140" s="23">
        <v>780.0</v>
      </c>
      <c r="H140" s="25">
        <v>599.0</v>
      </c>
      <c r="M140" s="29" t="s">
        <v>264</v>
      </c>
      <c r="N140" s="30"/>
      <c r="O140" s="30">
        <v>599.0</v>
      </c>
    </row>
    <row r="141">
      <c r="E141" s="58"/>
      <c r="F141" s="21" t="s">
        <v>265</v>
      </c>
      <c r="G141" s="23">
        <v>780.0</v>
      </c>
      <c r="H141" s="25">
        <v>599.0</v>
      </c>
      <c r="M141" s="29" t="s">
        <v>265</v>
      </c>
      <c r="N141" s="30"/>
      <c r="O141" s="30">
        <v>599.0</v>
      </c>
    </row>
    <row r="142">
      <c r="E142" s="58"/>
      <c r="F142" s="21" t="s">
        <v>266</v>
      </c>
      <c r="G142" s="23">
        <v>1300.0</v>
      </c>
      <c r="H142" s="25">
        <v>999.0</v>
      </c>
      <c r="M142" s="29" t="s">
        <v>266</v>
      </c>
      <c r="N142" s="30"/>
      <c r="O142" s="30">
        <v>999.0</v>
      </c>
    </row>
    <row r="143">
      <c r="E143" s="58"/>
      <c r="F143" s="21" t="s">
        <v>268</v>
      </c>
      <c r="G143" s="23">
        <v>1575.0</v>
      </c>
      <c r="H143" s="25">
        <v>1199.0</v>
      </c>
      <c r="M143" s="29" t="s">
        <v>268</v>
      </c>
      <c r="N143" s="30"/>
      <c r="O143" s="30">
        <v>1199.0</v>
      </c>
    </row>
    <row r="144">
      <c r="E144" s="58"/>
      <c r="F144" s="21" t="s">
        <v>269</v>
      </c>
      <c r="G144" s="23">
        <v>1040.0</v>
      </c>
      <c r="H144" s="25">
        <v>799.0</v>
      </c>
      <c r="M144" s="29" t="s">
        <v>269</v>
      </c>
      <c r="N144" s="30"/>
      <c r="O144" s="30">
        <v>799.0</v>
      </c>
    </row>
    <row r="145">
      <c r="E145" s="58"/>
      <c r="F145" s="21" t="s">
        <v>270</v>
      </c>
      <c r="G145" s="23">
        <v>650.0</v>
      </c>
      <c r="H145" s="25">
        <v>499.0</v>
      </c>
      <c r="M145" s="29" t="s">
        <v>270</v>
      </c>
      <c r="N145" s="30"/>
      <c r="O145" s="30">
        <v>499.0</v>
      </c>
    </row>
    <row r="146">
      <c r="E146" s="58"/>
      <c r="F146" s="21" t="s">
        <v>272</v>
      </c>
      <c r="G146" s="23">
        <v>520.0</v>
      </c>
      <c r="H146" s="25">
        <v>399.0</v>
      </c>
      <c r="M146" s="29" t="s">
        <v>272</v>
      </c>
      <c r="N146" s="30"/>
      <c r="O146" s="30">
        <v>399.0</v>
      </c>
    </row>
    <row r="147">
      <c r="E147" s="58"/>
      <c r="F147" s="21" t="s">
        <v>273</v>
      </c>
      <c r="G147" s="23">
        <v>650.0</v>
      </c>
      <c r="H147" s="25">
        <v>499.0</v>
      </c>
      <c r="M147" s="29" t="s">
        <v>273</v>
      </c>
      <c r="N147" s="30"/>
      <c r="O147" s="30">
        <v>499.0</v>
      </c>
    </row>
    <row r="148">
      <c r="E148" s="58"/>
      <c r="F148" s="21" t="s">
        <v>274</v>
      </c>
      <c r="G148" s="23">
        <v>685.0</v>
      </c>
      <c r="H148" s="25">
        <v>525.0</v>
      </c>
      <c r="M148" s="29" t="s">
        <v>274</v>
      </c>
      <c r="N148" s="30"/>
      <c r="O148" s="30">
        <v>525.0</v>
      </c>
    </row>
    <row r="149">
      <c r="E149" s="58"/>
      <c r="F149" s="21" t="s">
        <v>275</v>
      </c>
      <c r="G149" s="23">
        <v>780.0</v>
      </c>
      <c r="H149" s="25">
        <v>599.0</v>
      </c>
      <c r="M149" s="29" t="s">
        <v>275</v>
      </c>
      <c r="N149" s="30"/>
      <c r="O149" s="30">
        <v>599.0</v>
      </c>
    </row>
    <row r="150">
      <c r="E150" s="58"/>
      <c r="F150" s="21" t="s">
        <v>276</v>
      </c>
      <c r="G150" s="23">
        <v>1040.0</v>
      </c>
      <c r="H150" s="25">
        <v>799.0</v>
      </c>
      <c r="M150" s="29" t="s">
        <v>276</v>
      </c>
      <c r="N150" s="30"/>
      <c r="O150" s="30">
        <v>799.0</v>
      </c>
    </row>
    <row r="151">
      <c r="E151" s="58"/>
      <c r="F151" s="21" t="s">
        <v>277</v>
      </c>
      <c r="G151" s="23">
        <v>690.0</v>
      </c>
      <c r="H151" s="25">
        <v>525.0</v>
      </c>
      <c r="M151" s="29" t="s">
        <v>277</v>
      </c>
      <c r="N151" s="30"/>
      <c r="O151" s="30">
        <v>525.0</v>
      </c>
    </row>
    <row r="152">
      <c r="E152" s="58"/>
      <c r="F152" s="21" t="s">
        <v>278</v>
      </c>
      <c r="G152" s="23">
        <v>750.0</v>
      </c>
      <c r="H152" s="25">
        <v>575.0</v>
      </c>
      <c r="M152" s="29" t="s">
        <v>278</v>
      </c>
      <c r="N152" s="30"/>
      <c r="O152" s="30">
        <v>575.0</v>
      </c>
    </row>
    <row r="153">
      <c r="B153" s="59" t="s">
        <v>95</v>
      </c>
      <c r="E153" s="58"/>
      <c r="F153" s="21" t="s">
        <v>279</v>
      </c>
      <c r="G153" s="23">
        <v>650.0</v>
      </c>
      <c r="H153" s="25">
        <v>499.0</v>
      </c>
      <c r="M153" s="29" t="s">
        <v>279</v>
      </c>
      <c r="N153" s="30"/>
      <c r="O153" s="30">
        <v>499.0</v>
      </c>
    </row>
    <row r="154">
      <c r="B154" s="59" t="s">
        <v>95</v>
      </c>
      <c r="E154" s="58"/>
      <c r="F154" s="21" t="s">
        <v>280</v>
      </c>
      <c r="G154" s="23">
        <v>720.0</v>
      </c>
      <c r="H154" s="25">
        <v>550.0</v>
      </c>
      <c r="M154" s="29" t="s">
        <v>280</v>
      </c>
      <c r="N154" s="30"/>
      <c r="O154" s="30">
        <v>550.0</v>
      </c>
    </row>
    <row r="155">
      <c r="B155" s="59" t="s">
        <v>95</v>
      </c>
      <c r="E155" s="58"/>
      <c r="F155" s="21" t="s">
        <v>282</v>
      </c>
      <c r="G155" s="23">
        <v>780.0</v>
      </c>
      <c r="H155" s="25">
        <v>599.0</v>
      </c>
      <c r="M155" s="29" t="s">
        <v>282</v>
      </c>
      <c r="N155" s="30"/>
      <c r="O155" s="30">
        <v>599.0</v>
      </c>
    </row>
    <row r="156">
      <c r="B156" s="59" t="s">
        <v>95</v>
      </c>
      <c r="E156" s="58"/>
    </row>
    <row r="157">
      <c r="B157" s="59" t="s">
        <v>95</v>
      </c>
      <c r="E157" s="58"/>
    </row>
    <row r="158">
      <c r="B158" s="59" t="s">
        <v>95</v>
      </c>
      <c r="E158" s="58"/>
    </row>
    <row r="159">
      <c r="B159" s="59" t="s">
        <v>95</v>
      </c>
      <c r="E159" s="58"/>
    </row>
    <row r="160">
      <c r="B160" s="59" t="s">
        <v>95</v>
      </c>
      <c r="E160" s="58"/>
    </row>
    <row r="161">
      <c r="B161" s="59" t="s">
        <v>95</v>
      </c>
      <c r="E161" s="58"/>
    </row>
    <row r="162">
      <c r="B162" s="59" t="s">
        <v>95</v>
      </c>
      <c r="E162" s="58"/>
    </row>
    <row r="163">
      <c r="B163" s="59" t="s">
        <v>95</v>
      </c>
      <c r="E163" s="58"/>
    </row>
    <row r="164">
      <c r="B164" s="59" t="s">
        <v>95</v>
      </c>
      <c r="E164" s="58"/>
    </row>
    <row r="165">
      <c r="B165" s="59" t="s">
        <v>95</v>
      </c>
      <c r="E165" s="58"/>
    </row>
    <row r="166">
      <c r="B166" s="59" t="s">
        <v>95</v>
      </c>
      <c r="E166" s="58"/>
    </row>
    <row r="167">
      <c r="B167" s="59" t="s">
        <v>95</v>
      </c>
      <c r="E167" s="58"/>
    </row>
    <row r="168">
      <c r="B168" s="59" t="s">
        <v>95</v>
      </c>
    </row>
    <row r="169">
      <c r="B169" s="59" t="s">
        <v>95</v>
      </c>
    </row>
  </sheetData>
  <autoFilter ref="$K$1:$M$155">
    <sortState ref="K1:M155">
      <sortCondition ref="M1:M155"/>
    </sortState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4.0"/>
    <col customWidth="1" min="3" max="3" width="14.43"/>
    <col customWidth="1" min="4" max="4" width="14.0"/>
    <col customWidth="1" min="5" max="5" width="20.0"/>
    <col customWidth="1" min="8" max="8" width="50.86"/>
    <col customWidth="1" min="11" max="11" width="16.71"/>
  </cols>
  <sheetData>
    <row r="1">
      <c r="A1" s="3" t="s">
        <v>3</v>
      </c>
      <c r="B1" s="5"/>
      <c r="C1" s="5"/>
      <c r="D1" s="5"/>
      <c r="E1" s="11"/>
      <c r="G1" s="3" t="s">
        <v>9</v>
      </c>
      <c r="H1" s="5"/>
      <c r="I1" s="5"/>
      <c r="J1" s="5"/>
      <c r="K1" s="11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/>
      <c r="B2" s="18"/>
      <c r="C2" s="18"/>
      <c r="D2" s="18"/>
      <c r="E2" s="20"/>
      <c r="G2" s="17"/>
      <c r="H2" s="18"/>
      <c r="I2" s="18"/>
      <c r="J2" s="18"/>
      <c r="K2" s="20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" t="s">
        <v>2</v>
      </c>
      <c r="B3" s="2" t="s">
        <v>26</v>
      </c>
      <c r="C3" s="26" t="s">
        <v>27</v>
      </c>
      <c r="D3" s="2" t="s">
        <v>28</v>
      </c>
      <c r="E3" s="2" t="s">
        <v>30</v>
      </c>
      <c r="G3" s="2" t="s">
        <v>2</v>
      </c>
      <c r="H3" s="2" t="s">
        <v>26</v>
      </c>
      <c r="I3" s="26" t="s">
        <v>27</v>
      </c>
      <c r="J3" s="2" t="s">
        <v>28</v>
      </c>
      <c r="K3" s="2" t="s">
        <v>30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">
        <v>1.0</v>
      </c>
      <c r="B4" s="38" t="s">
        <v>21</v>
      </c>
      <c r="C4" s="40">
        <v>0.2</v>
      </c>
      <c r="D4" s="46">
        <f>VLOOKUP(B4,RATES!$A$1:$B$116,2,0)</f>
        <v>1180</v>
      </c>
      <c r="E4" s="47">
        <f t="shared" ref="E4:E7" si="1">C4*D4</f>
        <v>236</v>
      </c>
      <c r="G4" s="2">
        <v>1.0</v>
      </c>
      <c r="H4" s="38" t="s">
        <v>64</v>
      </c>
      <c r="I4" s="40">
        <v>0.2</v>
      </c>
      <c r="J4" s="46">
        <v>1180.0</v>
      </c>
      <c r="K4" s="47">
        <f t="shared" ref="K4:K8" si="2">I4*J4</f>
        <v>236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">
        <v>2.0</v>
      </c>
      <c r="B5" s="38" t="s">
        <v>35</v>
      </c>
      <c r="C5" s="40">
        <v>0.2</v>
      </c>
      <c r="D5" s="46">
        <f>VLOOKUP(B5,RATES!$A$1:$B$116,2,0)</f>
        <v>1140</v>
      </c>
      <c r="E5" s="47">
        <f t="shared" si="1"/>
        <v>228</v>
      </c>
      <c r="G5" s="2">
        <v>2.0</v>
      </c>
      <c r="H5" s="38" t="s">
        <v>62</v>
      </c>
      <c r="I5" s="40">
        <v>0.2</v>
      </c>
      <c r="J5" s="46">
        <f>VLOOKUP(H5,RATES!$A$1:$B$116,2,0)</f>
        <v>1480</v>
      </c>
      <c r="K5" s="47">
        <f t="shared" si="2"/>
        <v>296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48">
        <v>3.0</v>
      </c>
      <c r="B6" s="49" t="s">
        <v>129</v>
      </c>
      <c r="C6" s="50">
        <v>1.0</v>
      </c>
      <c r="D6" s="48">
        <f>vlookup(B6,RATES!$F$1:$G$164,2,0)</f>
        <v>495</v>
      </c>
      <c r="E6" s="53">
        <f t="shared" si="1"/>
        <v>495</v>
      </c>
      <c r="G6" s="2">
        <v>3.0</v>
      </c>
      <c r="H6" s="38" t="s">
        <v>92</v>
      </c>
      <c r="I6" s="40">
        <v>0.2</v>
      </c>
      <c r="J6" s="46">
        <f>VLOOKUP(H6,RATES!$A$1:$B$116,2,0)</f>
        <v>1480</v>
      </c>
      <c r="K6" s="47">
        <f t="shared" si="2"/>
        <v>296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46">
        <v>4.0</v>
      </c>
      <c r="B7" s="46" t="s">
        <v>140</v>
      </c>
      <c r="C7" s="40">
        <v>1.0</v>
      </c>
      <c r="D7" s="54">
        <v>50.0</v>
      </c>
      <c r="E7" s="55">
        <f t="shared" si="1"/>
        <v>50</v>
      </c>
      <c r="G7" s="48">
        <v>4.0</v>
      </c>
      <c r="H7" s="49" t="s">
        <v>144</v>
      </c>
      <c r="I7" s="50">
        <v>1.0</v>
      </c>
      <c r="J7" s="48" t="str">
        <f>vlookup(H7,RATES!$F$1:$G$164,2,0)</f>
        <v>#N/A</v>
      </c>
      <c r="K7" s="53" t="str">
        <f t="shared" si="2"/>
        <v>#N/A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56" t="s">
        <v>151</v>
      </c>
      <c r="B8" s="7"/>
      <c r="C8" s="7"/>
      <c r="D8" s="9"/>
      <c r="E8" s="57">
        <f>SUM(E4:E7)</f>
        <v>1009</v>
      </c>
      <c r="G8" s="46">
        <v>5.0</v>
      </c>
      <c r="H8" s="46" t="s">
        <v>140</v>
      </c>
      <c r="I8" s="40">
        <v>1.0</v>
      </c>
      <c r="J8" s="54">
        <v>40.0</v>
      </c>
      <c r="K8" s="47">
        <f t="shared" si="2"/>
        <v>40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G9" s="56" t="s">
        <v>151</v>
      </c>
      <c r="H9" s="7"/>
      <c r="I9" s="7"/>
      <c r="J9" s="9"/>
      <c r="K9" s="57" t="str">
        <f>SUM(K4:K8)</f>
        <v>#N/A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" t="s">
        <v>93</v>
      </c>
      <c r="B13" s="5"/>
      <c r="C13" s="5"/>
      <c r="D13" s="5"/>
      <c r="E13" s="11"/>
      <c r="G13" s="3" t="s">
        <v>100</v>
      </c>
      <c r="H13" s="5"/>
      <c r="I13" s="5"/>
      <c r="J13" s="5"/>
      <c r="K13" s="11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/>
      <c r="B14" s="18"/>
      <c r="C14" s="18"/>
      <c r="D14" s="18"/>
      <c r="E14" s="20"/>
      <c r="G14" s="17"/>
      <c r="H14" s="18"/>
      <c r="I14" s="18"/>
      <c r="J14" s="18"/>
      <c r="K14" s="20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" t="s">
        <v>2</v>
      </c>
      <c r="B15" s="2" t="s">
        <v>26</v>
      </c>
      <c r="C15" s="26" t="s">
        <v>27</v>
      </c>
      <c r="D15" s="2" t="s">
        <v>28</v>
      </c>
      <c r="E15" s="2" t="s">
        <v>30</v>
      </c>
      <c r="G15" s="2" t="s">
        <v>2</v>
      </c>
      <c r="H15" s="2" t="s">
        <v>26</v>
      </c>
      <c r="I15" s="26" t="s">
        <v>27</v>
      </c>
      <c r="J15" s="2" t="s">
        <v>28</v>
      </c>
      <c r="K15" s="2" t="s">
        <v>30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">
        <v>1.0</v>
      </c>
      <c r="B16" s="38" t="s">
        <v>176</v>
      </c>
      <c r="C16" s="40">
        <v>0.2</v>
      </c>
      <c r="D16" s="46" t="str">
        <f>VLOOKUP(B16,RATES!$A$1:$B$116,2,0)</f>
        <v>#N/A</v>
      </c>
      <c r="E16" s="47" t="str">
        <f t="shared" ref="E16:E21" si="3">C16*D16</f>
        <v>#N/A</v>
      </c>
      <c r="G16" s="2">
        <v>1.0</v>
      </c>
      <c r="H16" s="38" t="s">
        <v>76</v>
      </c>
      <c r="I16" s="40">
        <v>0.2</v>
      </c>
      <c r="J16" s="46">
        <v>880.0</v>
      </c>
      <c r="K16" s="47">
        <f t="shared" ref="K16:K23" si="4">I16*J16</f>
        <v>176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">
        <v>2.0</v>
      </c>
      <c r="B17" s="38" t="s">
        <v>64</v>
      </c>
      <c r="C17" s="40">
        <v>0.2</v>
      </c>
      <c r="D17" s="46">
        <f>VLOOKUP(B17,RATES!$A$1:$B$116,2,0)</f>
        <v>1580</v>
      </c>
      <c r="E17" s="47">
        <f t="shared" si="3"/>
        <v>316</v>
      </c>
      <c r="G17" s="2">
        <v>2.0</v>
      </c>
      <c r="H17" s="38" t="s">
        <v>62</v>
      </c>
      <c r="I17" s="40">
        <v>0.2</v>
      </c>
      <c r="J17" s="46">
        <v>1580.0</v>
      </c>
      <c r="K17" s="47">
        <f t="shared" si="4"/>
        <v>316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">
        <v>3.0</v>
      </c>
      <c r="B18" s="38" t="s">
        <v>62</v>
      </c>
      <c r="C18" s="40">
        <v>0.2</v>
      </c>
      <c r="D18" s="46">
        <f>VLOOKUP(B18,RATES!$A$1:$B$116,2,0)</f>
        <v>1480</v>
      </c>
      <c r="E18" s="47">
        <f t="shared" si="3"/>
        <v>296</v>
      </c>
      <c r="G18" s="2">
        <v>3.0</v>
      </c>
      <c r="H18" s="38" t="s">
        <v>64</v>
      </c>
      <c r="I18" s="40">
        <v>0.2</v>
      </c>
      <c r="J18" s="46">
        <v>1680.0</v>
      </c>
      <c r="K18" s="47">
        <f t="shared" si="4"/>
        <v>336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">
        <v>4.0</v>
      </c>
      <c r="B19" s="38" t="s">
        <v>76</v>
      </c>
      <c r="C19" s="40">
        <v>0.2</v>
      </c>
      <c r="D19" s="46">
        <f>VLOOKUP(B19,RATES!$A$1:$B$116,2,0)</f>
        <v>940</v>
      </c>
      <c r="E19" s="47">
        <f t="shared" si="3"/>
        <v>188</v>
      </c>
      <c r="G19" s="2">
        <v>4.0</v>
      </c>
      <c r="H19" s="38" t="s">
        <v>79</v>
      </c>
      <c r="I19" s="40">
        <v>0.2</v>
      </c>
      <c r="J19" s="46">
        <v>1280.0</v>
      </c>
      <c r="K19" s="47">
        <f t="shared" si="4"/>
        <v>256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48">
        <v>5.0</v>
      </c>
      <c r="B20" s="49" t="s">
        <v>204</v>
      </c>
      <c r="C20" s="50">
        <v>1.0</v>
      </c>
      <c r="D20" s="48" t="str">
        <f>vlookup(B20,RATES!$F$1:$G$164,2,0)</f>
        <v>#N/A</v>
      </c>
      <c r="E20" s="53" t="str">
        <f t="shared" si="3"/>
        <v>#N/A</v>
      </c>
      <c r="G20" s="2">
        <v>5.0</v>
      </c>
      <c r="H20" s="38" t="s">
        <v>208</v>
      </c>
      <c r="I20" s="40">
        <v>0.2</v>
      </c>
      <c r="J20" s="46">
        <v>1580.0</v>
      </c>
      <c r="K20" s="47">
        <f t="shared" si="4"/>
        <v>316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46">
        <v>6.0</v>
      </c>
      <c r="B21" s="46" t="s">
        <v>140</v>
      </c>
      <c r="C21" s="40">
        <v>1.0</v>
      </c>
      <c r="D21" s="54">
        <v>50.0</v>
      </c>
      <c r="E21" s="55">
        <f t="shared" si="3"/>
        <v>50</v>
      </c>
      <c r="G21" s="46">
        <v>6.0</v>
      </c>
      <c r="H21" s="38" t="s">
        <v>118</v>
      </c>
      <c r="I21" s="40">
        <v>0.2</v>
      </c>
      <c r="J21" s="46">
        <v>1480.0</v>
      </c>
      <c r="K21" s="47">
        <f t="shared" si="4"/>
        <v>296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56" t="s">
        <v>151</v>
      </c>
      <c r="B22" s="7"/>
      <c r="C22" s="7"/>
      <c r="D22" s="9"/>
      <c r="E22" s="57" t="str">
        <f>SUM(E16:E21)</f>
        <v>#N/A</v>
      </c>
      <c r="G22" s="48">
        <v>7.0</v>
      </c>
      <c r="H22" s="49" t="s">
        <v>217</v>
      </c>
      <c r="I22" s="50">
        <v>1.0</v>
      </c>
      <c r="J22" s="48">
        <f>vlookup(H22,RATES!$F$1:$G$164,2,0)</f>
        <v>820</v>
      </c>
      <c r="K22" s="53">
        <f t="shared" si="4"/>
        <v>820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D23" s="57"/>
      <c r="E23" s="57"/>
      <c r="G23" s="46">
        <v>8.0</v>
      </c>
      <c r="H23" s="46" t="s">
        <v>140</v>
      </c>
      <c r="I23" s="40">
        <v>1.0</v>
      </c>
      <c r="J23" s="54">
        <v>50.0</v>
      </c>
      <c r="K23" s="55">
        <f t="shared" si="4"/>
        <v>50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G24" s="56" t="s">
        <v>151</v>
      </c>
      <c r="H24" s="7"/>
      <c r="I24" s="7"/>
      <c r="J24" s="9"/>
      <c r="K24" s="57">
        <f>SUM(K16:K23)</f>
        <v>2566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" t="s">
        <v>231</v>
      </c>
      <c r="B27" s="5"/>
      <c r="C27" s="5"/>
      <c r="D27" s="5"/>
      <c r="E27" s="1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7"/>
      <c r="B28" s="18"/>
      <c r="C28" s="18"/>
      <c r="D28" s="18"/>
      <c r="E28" s="20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" t="s">
        <v>2</v>
      </c>
      <c r="B29" s="2" t="s">
        <v>26</v>
      </c>
      <c r="C29" s="26" t="s">
        <v>27</v>
      </c>
      <c r="D29" s="2" t="s">
        <v>28</v>
      </c>
      <c r="E29" s="2" t="s">
        <v>30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">
        <v>1.0</v>
      </c>
      <c r="B30" s="38" t="s">
        <v>46</v>
      </c>
      <c r="C30" s="40">
        <v>0.05</v>
      </c>
      <c r="D30" s="46">
        <f>VLOOKUP(B30,RATES!$A$1:$B$116,2,0)</f>
        <v>1880</v>
      </c>
      <c r="E30" s="47">
        <f t="shared" ref="E30:E39" si="5">C30*D30</f>
        <v>94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">
        <v>2.0</v>
      </c>
      <c r="B31" s="38" t="s">
        <v>50</v>
      </c>
      <c r="C31" s="40">
        <v>0.05</v>
      </c>
      <c r="D31" s="46">
        <f>VLOOKUP(B31,RATES!$A$1:$B$116,2,0)</f>
        <v>1840</v>
      </c>
      <c r="E31" s="47">
        <f t="shared" si="5"/>
        <v>92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">
        <v>3.0</v>
      </c>
      <c r="B32" s="38" t="s">
        <v>35</v>
      </c>
      <c r="C32" s="40">
        <v>0.05</v>
      </c>
      <c r="D32" s="46">
        <f>VLOOKUP(B32,RATES!$A$1:$B$116,2,0)</f>
        <v>1140</v>
      </c>
      <c r="E32" s="47">
        <f t="shared" si="5"/>
        <v>57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">
        <v>4.0</v>
      </c>
      <c r="B33" s="38" t="s">
        <v>250</v>
      </c>
      <c r="C33" s="40">
        <v>0.05</v>
      </c>
      <c r="D33" s="46" t="str">
        <f>VLOOKUP(B33,RATES!$A$1:$B$116,2,0)</f>
        <v>#N/A</v>
      </c>
      <c r="E33" s="47" t="str">
        <f t="shared" si="5"/>
        <v>#N/A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">
        <v>5.0</v>
      </c>
      <c r="B34" s="38" t="s">
        <v>255</v>
      </c>
      <c r="C34" s="40">
        <v>0.05</v>
      </c>
      <c r="D34" s="46" t="str">
        <f>VLOOKUP(B34,RATES!$A$1:$B$116,2,0)</f>
        <v>#N/A</v>
      </c>
      <c r="E34" s="47" t="str">
        <f t="shared" si="5"/>
        <v>#N/A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46">
        <v>6.0</v>
      </c>
      <c r="B35" s="38" t="s">
        <v>50</v>
      </c>
      <c r="C35" s="40">
        <v>0.05</v>
      </c>
      <c r="D35" s="46">
        <f>VLOOKUP(B35,RATES!$A$1:$B$116,2,0)</f>
        <v>1840</v>
      </c>
      <c r="E35" s="47">
        <f t="shared" si="5"/>
        <v>92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46">
        <v>7.0</v>
      </c>
      <c r="B36" s="38" t="s">
        <v>267</v>
      </c>
      <c r="C36" s="40">
        <v>0.05</v>
      </c>
      <c r="D36" s="46" t="str">
        <f>VLOOKUP(B36,RATES!$A$1:$B$116,2,0)</f>
        <v>#N/A</v>
      </c>
      <c r="E36" s="47" t="str">
        <f t="shared" si="5"/>
        <v>#N/A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46">
        <v>8.0</v>
      </c>
      <c r="B37" s="38" t="s">
        <v>76</v>
      </c>
      <c r="C37" s="40">
        <v>0.05</v>
      </c>
      <c r="D37" s="46">
        <f>VLOOKUP(B37,RATES!$A$1:$B$116,2,0)</f>
        <v>940</v>
      </c>
      <c r="E37" s="47">
        <f t="shared" si="5"/>
        <v>47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48">
        <v>9.0</v>
      </c>
      <c r="B38" s="49" t="s">
        <v>281</v>
      </c>
      <c r="C38" s="50">
        <v>1.0</v>
      </c>
      <c r="D38" s="48" t="str">
        <f>vlookup(B38,RATES!$F$1:$G$164,2,0)</f>
        <v>#N/A</v>
      </c>
      <c r="E38" s="53" t="str">
        <f t="shared" si="5"/>
        <v>#N/A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46">
        <v>10.0</v>
      </c>
      <c r="B39" s="46" t="s">
        <v>140</v>
      </c>
      <c r="C39" s="40">
        <v>1.0</v>
      </c>
      <c r="D39" s="54">
        <v>65.0</v>
      </c>
      <c r="E39" s="55">
        <f t="shared" si="5"/>
        <v>65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56" t="s">
        <v>151</v>
      </c>
      <c r="B40" s="7"/>
      <c r="C40" s="7"/>
      <c r="D40" s="9"/>
      <c r="E40" s="57" t="str">
        <f>SUM(E30:E39)</f>
        <v>#N/A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Z88" s="63"/>
    </row>
    <row r="89">
      <c r="Z89" s="63"/>
    </row>
    <row r="90">
      <c r="Z90" s="63"/>
    </row>
    <row r="91">
      <c r="A91" s="63"/>
      <c r="B91" s="63"/>
      <c r="C91" s="64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4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4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4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4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4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4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4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4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4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4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4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4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4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4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4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4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4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4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4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4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4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4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4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4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4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4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4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4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4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4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4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4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4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4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4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4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4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4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4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4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4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4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4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4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4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4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4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4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4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4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4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4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4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4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4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4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4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4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4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4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4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4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4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4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4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4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4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4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4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4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4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4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4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4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4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4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4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4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4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4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4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4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4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4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4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4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4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4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4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4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4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4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4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4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4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4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4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4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4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4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4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4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4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4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4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4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4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4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4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4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4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4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4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4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4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4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4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4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4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4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4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4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4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4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4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4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4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4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4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4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4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4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4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4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4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4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4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4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4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4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4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4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4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4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4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4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4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4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4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4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4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4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4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4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4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4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4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4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4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4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4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4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4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4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4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4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4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4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4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4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4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4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4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4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4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4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4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4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4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4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4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4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4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4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4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4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4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4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4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4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4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4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4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4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4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4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4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4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4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4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4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4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4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4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4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4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4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4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4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4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4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4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4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4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4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4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4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4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4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4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4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4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4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4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4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4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4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4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4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4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4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4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4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4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4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4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4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4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4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4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4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4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4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4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4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4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4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4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4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4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4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4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4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4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4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4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4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4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4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4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4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4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4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4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4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4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4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4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4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4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4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4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4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4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4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4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4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4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4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4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4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4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4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4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4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4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4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4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4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4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4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4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4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4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4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4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4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4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4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4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4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4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4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4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4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4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4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4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4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4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4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4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4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4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4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4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4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4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4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4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4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4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4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4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4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4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4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4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4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4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4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4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4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4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4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4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4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4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4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4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4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4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4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4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4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4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4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4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4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4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4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4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4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4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4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4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4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4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4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4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4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4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4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4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4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4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4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4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4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4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4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4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4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4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4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4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4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4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4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4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4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4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4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4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4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4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4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4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4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4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4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4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4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4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4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4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4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4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4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4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4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4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4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4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4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4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4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4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4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4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4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4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4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4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4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4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4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4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4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4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4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4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4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4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4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4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4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4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4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4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4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4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4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4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4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4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4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4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4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4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4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4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4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4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4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4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4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4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4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4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4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4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4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4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4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4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4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4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4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4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4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4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4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4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4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4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4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4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4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4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4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4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4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4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4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4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4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4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4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4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4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4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4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4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4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4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4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4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4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4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4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4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4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4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4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4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4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4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4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4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4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4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4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4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4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4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4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4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4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4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4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4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4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4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4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4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4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4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4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4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4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4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4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4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4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4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4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4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4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4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4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4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4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4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4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4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4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4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4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4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4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4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4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4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4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4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4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4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4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4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4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4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4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4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4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4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4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4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4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4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4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4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4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4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4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4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4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4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4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4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4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4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4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4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4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4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4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4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4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4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4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4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4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4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4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4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4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4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4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4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4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4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4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4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4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4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4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4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4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4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4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4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4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4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4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4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4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4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4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4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4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4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4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4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4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4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4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4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4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4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4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4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4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4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4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4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4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4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4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4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4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4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4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4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4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4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4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4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4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4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4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4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4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4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4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4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4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4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4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4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4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4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4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4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4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4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4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4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4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4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4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4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4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4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4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4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4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4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4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4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4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4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4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4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4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4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4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4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4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4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4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4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4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4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4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4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4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4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4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4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4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4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4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4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4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4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4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4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4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4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4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4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4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4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4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4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4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4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4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4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4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4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4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4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4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4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4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4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4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4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4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4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4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4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4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4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4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4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4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4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4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4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4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4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4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4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4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4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4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4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4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4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4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4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4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4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4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4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4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4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4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4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4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4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4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4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4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4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4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4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4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4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4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4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4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4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4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4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4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4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4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4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4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4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4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4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4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4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4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4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4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4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4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4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4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4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4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4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4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4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4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4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4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4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4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4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4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4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4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4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4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4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4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4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4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4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4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4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4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4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4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4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4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4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4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4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4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4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4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4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4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4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4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4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4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4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4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4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4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4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4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4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4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4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4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4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4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4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4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4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4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4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4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4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4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4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4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4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4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4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4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4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4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4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4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4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4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4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4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4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4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4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4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4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4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4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4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4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4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4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4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4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4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4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4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4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4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4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4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4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4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4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4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4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4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4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4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4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4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4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4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4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4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4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4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4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4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4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4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4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4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B996" s="63"/>
      <c r="C996" s="64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B997" s="63"/>
      <c r="C997" s="64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B998" s="63"/>
      <c r="C998" s="64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B999" s="63"/>
      <c r="C999" s="64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</sheetData>
  <mergeCells count="10">
    <mergeCell ref="A22:D22"/>
    <mergeCell ref="A27:E28"/>
    <mergeCell ref="A40:D40"/>
    <mergeCell ref="A1:E2"/>
    <mergeCell ref="G1:K2"/>
    <mergeCell ref="A8:D8"/>
    <mergeCell ref="G9:J9"/>
    <mergeCell ref="A13:E14"/>
    <mergeCell ref="G13:K14"/>
    <mergeCell ref="G24:J24"/>
  </mergeCells>
  <dataValidations>
    <dataValidation type="list" allowBlank="1" showErrorMessage="1" sqref="H21">
      <formula1>RATES!$A$58:$A$252</formula1>
    </dataValidation>
    <dataValidation type="list" allowBlank="1" showErrorMessage="1" sqref="B4:B5 H4:H6 B16:B19 H16:H20 B30:B37">
      <formula1>RATES!$A$61:$A$113</formula1>
    </dataValidation>
    <dataValidation type="list" allowBlank="1" showErrorMessage="1" sqref="B6 H7 B20 H22 B38">
      <formula1>RATES!$F$2:$F$165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46.14"/>
    <col customWidth="1" min="3" max="3" width="13.0"/>
    <col customWidth="1" min="4" max="4" width="11.57"/>
    <col customWidth="1" min="5" max="5" width="12.14"/>
    <col customWidth="1" min="6" max="6" width="28.71"/>
    <col customWidth="1" min="7" max="7" width="47.0"/>
    <col customWidth="1" min="8" max="8" width="12.86"/>
    <col customWidth="1" min="9" max="9" width="9.86"/>
    <col customWidth="1" min="10" max="10" width="24.57"/>
    <col customWidth="1" min="11" max="11" width="11.86"/>
    <col customWidth="1" min="12" max="12" width="38.71"/>
    <col customWidth="1" min="13" max="13" width="16.14"/>
  </cols>
  <sheetData>
    <row r="1">
      <c r="A1" s="60"/>
      <c r="B1" s="6" t="s">
        <v>4</v>
      </c>
      <c r="C1" s="8" t="s">
        <v>5</v>
      </c>
      <c r="D1" s="10" t="s">
        <v>6</v>
      </c>
      <c r="E1" s="13" t="s">
        <v>15</v>
      </c>
      <c r="F1" s="10" t="s">
        <v>8</v>
      </c>
      <c r="G1" s="15" t="s">
        <v>11</v>
      </c>
      <c r="H1" s="10" t="s">
        <v>13</v>
      </c>
      <c r="I1" s="13" t="s">
        <v>14</v>
      </c>
      <c r="J1" s="10" t="s">
        <v>16</v>
      </c>
      <c r="K1" s="10" t="s">
        <v>19</v>
      </c>
      <c r="L1" s="19" t="s">
        <v>20</v>
      </c>
      <c r="M1" s="13" t="s">
        <v>22</v>
      </c>
      <c r="N1" s="13" t="s">
        <v>291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4">
        <v>51.0</v>
      </c>
      <c r="B2" s="29" t="str">
        <f t="shared" ref="B2:B209" si="1">J2&amp;K2&amp;L2</f>
        <v>2005-3x1</v>
      </c>
      <c r="C2" s="61">
        <f>VLOOKUP(B2,Stock!$B$2:$C$193,2,0)</f>
        <v>30</v>
      </c>
      <c r="D2" s="36" t="s">
        <v>49</v>
      </c>
      <c r="E2" s="37">
        <f>VLOOKUP(B2,RATES!$F$1:$G$152,2,0)</f>
        <v>415</v>
      </c>
      <c r="F2" s="37" t="s">
        <v>295</v>
      </c>
      <c r="G2" s="62"/>
      <c r="H2" s="43"/>
      <c r="I2" s="37" t="s">
        <v>168</v>
      </c>
      <c r="J2" s="42" t="s">
        <v>296</v>
      </c>
      <c r="K2" s="43" t="s">
        <v>95</v>
      </c>
      <c r="L2" s="44" t="s">
        <v>81</v>
      </c>
      <c r="M2" s="45" t="s">
        <v>10</v>
      </c>
      <c r="N2" s="45">
        <v>1.0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4">
        <v>57.0</v>
      </c>
      <c r="B3" s="29" t="str">
        <f t="shared" si="1"/>
        <v>225A-3x1</v>
      </c>
      <c r="C3" s="61">
        <f>VLOOKUP(B3,Stock!$B$2:$C$193,2,0)</f>
        <v>30</v>
      </c>
      <c r="D3" s="36" t="s">
        <v>49</v>
      </c>
      <c r="E3" s="37">
        <f>VLOOKUP(B3,RATES!$F$1:$G$152,2,0)</f>
        <v>555</v>
      </c>
      <c r="F3" s="37" t="s">
        <v>295</v>
      </c>
      <c r="G3" s="62"/>
      <c r="H3" s="43"/>
      <c r="I3" s="37" t="s">
        <v>168</v>
      </c>
      <c r="J3" s="42" t="s">
        <v>298</v>
      </c>
      <c r="K3" s="43" t="s">
        <v>95</v>
      </c>
      <c r="L3" s="44" t="s">
        <v>81</v>
      </c>
      <c r="M3" s="45" t="s">
        <v>10</v>
      </c>
      <c r="N3" s="45">
        <v>1.0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4">
        <v>65.0</v>
      </c>
      <c r="B4" s="29" t="str">
        <f t="shared" si="1"/>
        <v>275B-3x1</v>
      </c>
      <c r="C4" s="61">
        <f>VLOOKUP(B4,Stock!$B$2:$C$193,2,0)</f>
        <v>30</v>
      </c>
      <c r="D4" s="36" t="s">
        <v>49</v>
      </c>
      <c r="E4" s="37">
        <f>VLOOKUP(B4,RATES!$F$1:$G$152,2,0)</f>
        <v>555</v>
      </c>
      <c r="F4" s="37" t="s">
        <v>295</v>
      </c>
      <c r="G4" s="62"/>
      <c r="H4" s="43"/>
      <c r="I4" s="37" t="s">
        <v>285</v>
      </c>
      <c r="J4" s="42" t="s">
        <v>301</v>
      </c>
      <c r="K4" s="43" t="s">
        <v>95</v>
      </c>
      <c r="L4" s="44" t="s">
        <v>81</v>
      </c>
      <c r="M4" s="45" t="s">
        <v>10</v>
      </c>
      <c r="N4" s="45">
        <v>1.0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4">
        <v>77.0</v>
      </c>
      <c r="B5" s="29" t="str">
        <f t="shared" si="1"/>
        <v>215B-3x1</v>
      </c>
      <c r="C5" s="61">
        <f>VLOOKUP(B5,Stock!$B$2:$C$193,2,0)</f>
        <v>30</v>
      </c>
      <c r="D5" s="36" t="s">
        <v>49</v>
      </c>
      <c r="E5" s="37">
        <f>VLOOKUP(B5,RATES!$F$1:$G$152,2,0)</f>
        <v>555</v>
      </c>
      <c r="F5" s="37" t="s">
        <v>295</v>
      </c>
      <c r="G5" s="62"/>
      <c r="H5" s="43"/>
      <c r="I5" s="37" t="s">
        <v>168</v>
      </c>
      <c r="J5" s="42" t="s">
        <v>304</v>
      </c>
      <c r="K5" s="43" t="s">
        <v>95</v>
      </c>
      <c r="L5" s="44" t="s">
        <v>81</v>
      </c>
      <c r="M5" s="45" t="s">
        <v>10</v>
      </c>
      <c r="N5" s="45">
        <v>1.0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4">
        <v>102.0</v>
      </c>
      <c r="B6" s="29" t="str">
        <f t="shared" si="1"/>
        <v>325-3x1</v>
      </c>
      <c r="C6" s="61">
        <f>VLOOKUP(B6,Stock!$B$2:$C$193,2,0)</f>
        <v>30</v>
      </c>
      <c r="D6" s="36" t="s">
        <v>49</v>
      </c>
      <c r="E6" s="37">
        <f>VLOOKUP(B6,RATES!$F$1:$G$152,2,0)</f>
        <v>595</v>
      </c>
      <c r="F6" s="37" t="s">
        <v>295</v>
      </c>
      <c r="G6" s="62"/>
      <c r="H6" s="43"/>
      <c r="I6" s="37" t="s">
        <v>306</v>
      </c>
      <c r="J6" s="42" t="s">
        <v>307</v>
      </c>
      <c r="K6" s="43" t="s">
        <v>95</v>
      </c>
      <c r="L6" s="44" t="s">
        <v>81</v>
      </c>
      <c r="M6" s="45" t="s">
        <v>10</v>
      </c>
      <c r="N6" s="45">
        <v>1.0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4">
        <v>105.0</v>
      </c>
      <c r="B7" s="29" t="str">
        <f t="shared" si="1"/>
        <v>335-3x1</v>
      </c>
      <c r="C7" s="61">
        <f>VLOOKUP(B7,Stock!$B$2:$C$193,2,0)</f>
        <v>30</v>
      </c>
      <c r="D7" s="36" t="s">
        <v>49</v>
      </c>
      <c r="E7" s="37">
        <f>VLOOKUP(B7,RATES!$F$1:$G$152,2,0)</f>
        <v>595</v>
      </c>
      <c r="F7" s="37" t="s">
        <v>295</v>
      </c>
      <c r="G7" s="62"/>
      <c r="H7" s="43"/>
      <c r="I7" s="37" t="s">
        <v>285</v>
      </c>
      <c r="J7" s="42" t="s">
        <v>310</v>
      </c>
      <c r="K7" s="43" t="s">
        <v>95</v>
      </c>
      <c r="L7" s="44" t="s">
        <v>81</v>
      </c>
      <c r="M7" s="45" t="s">
        <v>10</v>
      </c>
      <c r="N7" s="45">
        <v>1.0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4">
        <v>1.0</v>
      </c>
      <c r="B8" s="29" t="str">
        <f t="shared" si="1"/>
        <v>025D-8x8</v>
      </c>
      <c r="C8" s="61">
        <f>VLOOKUP(B8,Stock!$B$2:$C$193,2,0)</f>
        <v>250</v>
      </c>
      <c r="D8" s="36" t="s">
        <v>49</v>
      </c>
      <c r="E8" s="37" t="str">
        <f>VLOOKUP(B8,RATES!$F$1:$G$152,2,0)</f>
        <v>#N/A</v>
      </c>
      <c r="F8" s="37" t="s">
        <v>51</v>
      </c>
      <c r="G8" s="62"/>
      <c r="H8" s="43"/>
      <c r="I8" s="37" t="s">
        <v>86</v>
      </c>
      <c r="J8" s="42" t="s">
        <v>314</v>
      </c>
      <c r="K8" s="43" t="s">
        <v>95</v>
      </c>
      <c r="L8" s="44" t="s">
        <v>29</v>
      </c>
      <c r="M8" s="45" t="s">
        <v>10</v>
      </c>
      <c r="N8" s="45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4">
        <v>2.0</v>
      </c>
      <c r="B9" s="29" t="str">
        <f t="shared" si="1"/>
        <v>025A-8x8</v>
      </c>
      <c r="C9" s="61">
        <f>VLOOKUP(B9,Stock!$B$2:$C$193,2,0)</f>
        <v>250</v>
      </c>
      <c r="D9" s="36" t="s">
        <v>49</v>
      </c>
      <c r="E9" s="37" t="str">
        <f>VLOOKUP(B9,RATES!$F$1:$G$152,2,0)</f>
        <v>#N/A</v>
      </c>
      <c r="F9" s="37" t="s">
        <v>51</v>
      </c>
      <c r="G9" s="62"/>
      <c r="H9" s="43"/>
      <c r="I9" s="37" t="s">
        <v>86</v>
      </c>
      <c r="J9" s="42" t="s">
        <v>319</v>
      </c>
      <c r="K9" s="43" t="s">
        <v>95</v>
      </c>
      <c r="L9" s="44" t="s">
        <v>29</v>
      </c>
      <c r="M9" s="45" t="s">
        <v>10</v>
      </c>
      <c r="N9" s="45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4">
        <v>3.0</v>
      </c>
      <c r="B10" s="29" t="str">
        <f t="shared" si="1"/>
        <v>025I-8x8</v>
      </c>
      <c r="C10" s="61">
        <f>VLOOKUP(B10,Stock!$B$2:$C$193,2,0)</f>
        <v>250</v>
      </c>
      <c r="D10" s="36" t="s">
        <v>49</v>
      </c>
      <c r="E10" s="37" t="str">
        <f>VLOOKUP(B10,RATES!$F$1:$G$152,2,0)</f>
        <v>#N/A</v>
      </c>
      <c r="F10" s="37" t="s">
        <v>51</v>
      </c>
      <c r="G10" s="62"/>
      <c r="H10" s="43"/>
      <c r="I10" s="37" t="s">
        <v>86</v>
      </c>
      <c r="J10" s="42" t="s">
        <v>322</v>
      </c>
      <c r="K10" s="43" t="s">
        <v>95</v>
      </c>
      <c r="L10" s="44" t="s">
        <v>29</v>
      </c>
      <c r="M10" s="45" t="s">
        <v>10</v>
      </c>
      <c r="N10" s="45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4">
        <v>4.0</v>
      </c>
      <c r="B11" s="29" t="str">
        <f t="shared" si="1"/>
        <v>025E-8x8</v>
      </c>
      <c r="C11" s="61">
        <f>VLOOKUP(B11,Stock!$B$2:$C$193,2,0)</f>
        <v>250</v>
      </c>
      <c r="D11" s="36" t="s">
        <v>49</v>
      </c>
      <c r="E11" s="37" t="str">
        <f>VLOOKUP(B11,RATES!$F$1:$G$152,2,0)</f>
        <v>#N/A</v>
      </c>
      <c r="F11" s="37" t="s">
        <v>51</v>
      </c>
      <c r="G11" s="62"/>
      <c r="H11" s="43"/>
      <c r="I11" s="37" t="s">
        <v>86</v>
      </c>
      <c r="J11" s="42" t="s">
        <v>325</v>
      </c>
      <c r="K11" s="43" t="s">
        <v>95</v>
      </c>
      <c r="L11" s="44" t="s">
        <v>29</v>
      </c>
      <c r="M11" s="45" t="s">
        <v>10</v>
      </c>
      <c r="N11" s="45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4">
        <v>5.0</v>
      </c>
      <c r="B12" s="29" t="str">
        <f t="shared" si="1"/>
        <v>025C-8x8</v>
      </c>
      <c r="C12" s="61">
        <f>VLOOKUP(B12,Stock!$B$2:$C$193,2,0)</f>
        <v>250</v>
      </c>
      <c r="D12" s="36" t="s">
        <v>49</v>
      </c>
      <c r="E12" s="37" t="str">
        <f>VLOOKUP(B12,RATES!$F$1:$G$152,2,0)</f>
        <v>#N/A</v>
      </c>
      <c r="F12" s="37" t="s">
        <v>51</v>
      </c>
      <c r="G12" s="62"/>
      <c r="H12" s="43"/>
      <c r="I12" s="37" t="s">
        <v>86</v>
      </c>
      <c r="J12" s="42" t="s">
        <v>331</v>
      </c>
      <c r="K12" s="43" t="s">
        <v>95</v>
      </c>
      <c r="L12" s="44" t="s">
        <v>29</v>
      </c>
      <c r="M12" s="45" t="s">
        <v>10</v>
      </c>
      <c r="N12" s="45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4">
        <v>6.0</v>
      </c>
      <c r="B13" s="29" t="str">
        <f t="shared" si="1"/>
        <v>025H-8x8</v>
      </c>
      <c r="C13" s="61">
        <f>VLOOKUP(B13,Stock!$B$2:$C$193,2,0)</f>
        <v>250</v>
      </c>
      <c r="D13" s="36" t="s">
        <v>49</v>
      </c>
      <c r="E13" s="37" t="str">
        <f>VLOOKUP(B13,RATES!$F$1:$G$152,2,0)</f>
        <v>#N/A</v>
      </c>
      <c r="F13" s="37" t="s">
        <v>51</v>
      </c>
      <c r="G13" s="62"/>
      <c r="H13" s="43"/>
      <c r="I13" s="37" t="s">
        <v>86</v>
      </c>
      <c r="J13" s="42" t="s">
        <v>335</v>
      </c>
      <c r="K13" s="43" t="s">
        <v>95</v>
      </c>
      <c r="L13" s="44" t="s">
        <v>29</v>
      </c>
      <c r="M13" s="45" t="s">
        <v>10</v>
      </c>
      <c r="N13" s="45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4">
        <v>7.0</v>
      </c>
      <c r="B14" s="29" t="str">
        <f t="shared" si="1"/>
        <v>025F-8x8</v>
      </c>
      <c r="C14" s="61">
        <f>VLOOKUP(B14,Stock!$B$2:$C$193,2,0)</f>
        <v>250</v>
      </c>
      <c r="D14" s="36" t="s">
        <v>49</v>
      </c>
      <c r="E14" s="37" t="str">
        <f>VLOOKUP(B14,RATES!$F$1:$G$152,2,0)</f>
        <v>#N/A</v>
      </c>
      <c r="F14" s="37" t="s">
        <v>51</v>
      </c>
      <c r="G14" s="62"/>
      <c r="H14" s="43"/>
      <c r="I14" s="37" t="s">
        <v>86</v>
      </c>
      <c r="J14" s="42" t="s">
        <v>339</v>
      </c>
      <c r="K14" s="43" t="s">
        <v>95</v>
      </c>
      <c r="L14" s="44" t="s">
        <v>29</v>
      </c>
      <c r="M14" s="45" t="s">
        <v>10</v>
      </c>
      <c r="N14" s="45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4">
        <v>8.0</v>
      </c>
      <c r="B15" s="29" t="str">
        <f t="shared" si="1"/>
        <v>025B-8x8</v>
      </c>
      <c r="C15" s="61">
        <f>VLOOKUP(B15,Stock!$B$2:$C$193,2,0)</f>
        <v>250</v>
      </c>
      <c r="D15" s="36" t="s">
        <v>49</v>
      </c>
      <c r="E15" s="37" t="str">
        <f>VLOOKUP(B15,RATES!$F$1:$G$152,2,0)</f>
        <v>#N/A</v>
      </c>
      <c r="F15" s="37" t="s">
        <v>51</v>
      </c>
      <c r="G15" s="62"/>
      <c r="H15" s="43"/>
      <c r="I15" s="37" t="s">
        <v>86</v>
      </c>
      <c r="J15" s="42" t="s">
        <v>343</v>
      </c>
      <c r="K15" s="43" t="s">
        <v>95</v>
      </c>
      <c r="L15" s="44" t="s">
        <v>29</v>
      </c>
      <c r="M15" s="45" t="s">
        <v>10</v>
      </c>
      <c r="N15" s="45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4">
        <v>9.0</v>
      </c>
      <c r="B16" s="29" t="str">
        <f t="shared" si="1"/>
        <v>1035-10x10</v>
      </c>
      <c r="C16" s="61">
        <f>VLOOKUP(B16,Stock!$B$2:$C$193,2,0)</f>
        <v>200</v>
      </c>
      <c r="D16" s="36" t="s">
        <v>49</v>
      </c>
      <c r="E16" s="37" t="str">
        <f>VLOOKUP(B16,RATES!$F$1:$G$152,2,0)</f>
        <v>#N/A</v>
      </c>
      <c r="F16" s="37" t="s">
        <v>51</v>
      </c>
      <c r="G16" s="62"/>
      <c r="H16" s="43"/>
      <c r="I16" s="37" t="s">
        <v>229</v>
      </c>
      <c r="J16" s="42" t="s">
        <v>348</v>
      </c>
      <c r="K16" s="43" t="s">
        <v>95</v>
      </c>
      <c r="L16" s="44" t="s">
        <v>37</v>
      </c>
      <c r="M16" s="45" t="s">
        <v>10</v>
      </c>
      <c r="N16" s="45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4">
        <v>10.0</v>
      </c>
      <c r="B17" s="29" t="str">
        <f t="shared" si="1"/>
        <v>1085-10x10</v>
      </c>
      <c r="C17" s="61">
        <f>VLOOKUP(B17,Stock!$B$2:$C$193,2,0)</f>
        <v>200</v>
      </c>
      <c r="D17" s="36" t="s">
        <v>49</v>
      </c>
      <c r="E17" s="37" t="str">
        <f>VLOOKUP(B17,RATES!$F$1:$G$152,2,0)</f>
        <v>#N/A</v>
      </c>
      <c r="F17" s="37" t="s">
        <v>51</v>
      </c>
      <c r="G17" s="62"/>
      <c r="H17" s="43"/>
      <c r="I17" s="37" t="s">
        <v>229</v>
      </c>
      <c r="J17" s="42" t="s">
        <v>352</v>
      </c>
      <c r="K17" s="43" t="s">
        <v>95</v>
      </c>
      <c r="L17" s="44" t="s">
        <v>37</v>
      </c>
      <c r="M17" s="45" t="s">
        <v>10</v>
      </c>
      <c r="N17" s="45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4">
        <v>11.0</v>
      </c>
      <c r="B18" s="29" t="str">
        <f t="shared" si="1"/>
        <v>1015-10x10</v>
      </c>
      <c r="C18" s="61">
        <f>VLOOKUP(B18,Stock!$B$2:$C$193,2,0)</f>
        <v>200</v>
      </c>
      <c r="D18" s="36" t="s">
        <v>49</v>
      </c>
      <c r="E18" s="37" t="str">
        <f>VLOOKUP(B18,RATES!$F$1:$G$152,2,0)</f>
        <v>#N/A</v>
      </c>
      <c r="F18" s="37" t="s">
        <v>51</v>
      </c>
      <c r="G18" s="62"/>
      <c r="H18" s="43"/>
      <c r="I18" s="37" t="s">
        <v>229</v>
      </c>
      <c r="J18" s="42" t="s">
        <v>356</v>
      </c>
      <c r="K18" s="43" t="s">
        <v>95</v>
      </c>
      <c r="L18" s="44" t="s">
        <v>37</v>
      </c>
      <c r="M18" s="45" t="s">
        <v>10</v>
      </c>
      <c r="N18" s="45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4">
        <v>12.0</v>
      </c>
      <c r="B19" s="29" t="str">
        <f t="shared" si="1"/>
        <v>1055-10x10</v>
      </c>
      <c r="C19" s="61">
        <f>VLOOKUP(B19,Stock!$B$2:$C$193,2,0)</f>
        <v>200</v>
      </c>
      <c r="D19" s="36" t="s">
        <v>49</v>
      </c>
      <c r="E19" s="37" t="str">
        <f>VLOOKUP(B19,RATES!$F$1:$G$152,2,0)</f>
        <v>#N/A</v>
      </c>
      <c r="F19" s="37" t="s">
        <v>51</v>
      </c>
      <c r="G19" s="62"/>
      <c r="H19" s="43"/>
      <c r="I19" s="37" t="s">
        <v>229</v>
      </c>
      <c r="J19" s="42" t="s">
        <v>362</v>
      </c>
      <c r="K19" s="43" t="s">
        <v>95</v>
      </c>
      <c r="L19" s="44" t="s">
        <v>37</v>
      </c>
      <c r="M19" s="45" t="s">
        <v>10</v>
      </c>
      <c r="N19" s="45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4">
        <v>13.0</v>
      </c>
      <c r="B20" s="29" t="str">
        <f t="shared" si="1"/>
        <v>1025-10x10</v>
      </c>
      <c r="C20" s="61">
        <f>VLOOKUP(B20,Stock!$B$2:$C$193,2,0)</f>
        <v>210</v>
      </c>
      <c r="D20" s="36" t="s">
        <v>49</v>
      </c>
      <c r="E20" s="37" t="str">
        <f>VLOOKUP(B20,RATES!$F$1:$G$152,2,0)</f>
        <v>#N/A</v>
      </c>
      <c r="F20" s="37" t="s">
        <v>51</v>
      </c>
      <c r="G20" s="62"/>
      <c r="H20" s="43"/>
      <c r="I20" s="37" t="s">
        <v>229</v>
      </c>
      <c r="J20" s="42" t="s">
        <v>367</v>
      </c>
      <c r="K20" s="43" t="s">
        <v>95</v>
      </c>
      <c r="L20" s="44" t="s">
        <v>37</v>
      </c>
      <c r="M20" s="45" t="s">
        <v>10</v>
      </c>
      <c r="N20" s="45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4">
        <v>14.0</v>
      </c>
      <c r="B21" s="29" t="str">
        <f t="shared" si="1"/>
        <v>1065-10x10</v>
      </c>
      <c r="C21" s="61">
        <f>VLOOKUP(B21,Stock!$B$2:$C$193,2,0)</f>
        <v>200</v>
      </c>
      <c r="D21" s="36" t="s">
        <v>49</v>
      </c>
      <c r="E21" s="37" t="str">
        <f>VLOOKUP(B21,RATES!$F$1:$G$152,2,0)</f>
        <v>#N/A</v>
      </c>
      <c r="F21" s="37" t="s">
        <v>51</v>
      </c>
      <c r="G21" s="62"/>
      <c r="H21" s="43"/>
      <c r="I21" s="37" t="s">
        <v>229</v>
      </c>
      <c r="J21" s="42" t="s">
        <v>374</v>
      </c>
      <c r="K21" s="43" t="s">
        <v>95</v>
      </c>
      <c r="L21" s="44" t="s">
        <v>37</v>
      </c>
      <c r="M21" s="45" t="s">
        <v>10</v>
      </c>
      <c r="N21" s="45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4">
        <v>15.0</v>
      </c>
      <c r="B22" s="29" t="str">
        <f t="shared" si="1"/>
        <v>1005-10x10</v>
      </c>
      <c r="C22" s="61">
        <f>VLOOKUP(B22,Stock!$B$2:$C$193,2,0)</f>
        <v>200</v>
      </c>
      <c r="D22" s="36" t="s">
        <v>49</v>
      </c>
      <c r="E22" s="37" t="str">
        <f>VLOOKUP(B22,RATES!$F$1:$G$152,2,0)</f>
        <v>#N/A</v>
      </c>
      <c r="F22" s="37" t="s">
        <v>51</v>
      </c>
      <c r="G22" s="62"/>
      <c r="H22" s="43"/>
      <c r="I22" s="37" t="s">
        <v>229</v>
      </c>
      <c r="J22" s="42" t="s">
        <v>378</v>
      </c>
      <c r="K22" s="43" t="s">
        <v>95</v>
      </c>
      <c r="L22" s="44" t="s">
        <v>37</v>
      </c>
      <c r="M22" s="45" t="s">
        <v>10</v>
      </c>
      <c r="N22" s="45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4">
        <v>16.0</v>
      </c>
      <c r="B23" s="29" t="str">
        <f t="shared" si="1"/>
        <v>1075-10x10</v>
      </c>
      <c r="C23" s="61">
        <f>VLOOKUP(B23,Stock!$B$2:$C$193,2,0)</f>
        <v>200</v>
      </c>
      <c r="D23" s="36" t="s">
        <v>49</v>
      </c>
      <c r="E23" s="37" t="str">
        <f>VLOOKUP(B23,RATES!$F$1:$G$152,2,0)</f>
        <v>#N/A</v>
      </c>
      <c r="F23" s="37" t="s">
        <v>51</v>
      </c>
      <c r="G23" s="62"/>
      <c r="H23" s="43"/>
      <c r="I23" s="37" t="s">
        <v>229</v>
      </c>
      <c r="J23" s="42" t="s">
        <v>382</v>
      </c>
      <c r="K23" s="43" t="s">
        <v>95</v>
      </c>
      <c r="L23" s="44" t="s">
        <v>37</v>
      </c>
      <c r="M23" s="45" t="s">
        <v>10</v>
      </c>
      <c r="N23" s="45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4">
        <v>17.0</v>
      </c>
      <c r="B24" s="29" t="str">
        <f t="shared" si="1"/>
        <v>1045-10x10</v>
      </c>
      <c r="C24" s="61">
        <f>VLOOKUP(B24,Stock!$B$2:$C$193,2,0)</f>
        <v>190</v>
      </c>
      <c r="D24" s="36" t="s">
        <v>49</v>
      </c>
      <c r="E24" s="37" t="str">
        <f>VLOOKUP(B24,RATES!$F$1:$G$152,2,0)</f>
        <v>#N/A</v>
      </c>
      <c r="F24" s="37" t="s">
        <v>51</v>
      </c>
      <c r="G24" s="62"/>
      <c r="H24" s="43"/>
      <c r="I24" s="37" t="s">
        <v>229</v>
      </c>
      <c r="J24" s="42" t="s">
        <v>388</v>
      </c>
      <c r="K24" s="43" t="s">
        <v>95</v>
      </c>
      <c r="L24" s="44" t="s">
        <v>37</v>
      </c>
      <c r="M24" s="45" t="s">
        <v>10</v>
      </c>
      <c r="N24" s="45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4">
        <v>18.0</v>
      </c>
      <c r="B25" s="29" t="str">
        <f t="shared" si="1"/>
        <v>1135A-8x12</v>
      </c>
      <c r="C25" s="61">
        <f>VLOOKUP(B25,Stock!$B$2:$C$193,2,0)</f>
        <v>190</v>
      </c>
      <c r="D25" s="36" t="s">
        <v>49</v>
      </c>
      <c r="E25" s="37" t="str">
        <f>VLOOKUP(B25,RATES!$F$1:$G$152,2,0)</f>
        <v>#N/A</v>
      </c>
      <c r="F25" s="37" t="s">
        <v>51</v>
      </c>
      <c r="G25" s="62"/>
      <c r="H25" s="43"/>
      <c r="I25" s="37" t="s">
        <v>168</v>
      </c>
      <c r="J25" s="42" t="s">
        <v>393</v>
      </c>
      <c r="K25" s="43" t="s">
        <v>95</v>
      </c>
      <c r="L25" s="44" t="s">
        <v>34</v>
      </c>
      <c r="M25" s="45" t="s">
        <v>10</v>
      </c>
      <c r="N25" s="45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4">
        <v>19.0</v>
      </c>
      <c r="B26" s="29" t="str">
        <f t="shared" si="1"/>
        <v>1195A-8x12</v>
      </c>
      <c r="C26" s="61">
        <f>VLOOKUP(B26,Stock!$B$2:$C$193,2,0)</f>
        <v>200</v>
      </c>
      <c r="D26" s="36" t="s">
        <v>49</v>
      </c>
      <c r="E26" s="37" t="str">
        <f>VLOOKUP(B26,RATES!$F$1:$G$152,2,0)</f>
        <v>#N/A</v>
      </c>
      <c r="F26" s="37" t="s">
        <v>51</v>
      </c>
      <c r="G26" s="62"/>
      <c r="H26" s="43"/>
      <c r="I26" s="37" t="s">
        <v>168</v>
      </c>
      <c r="J26" s="42" t="s">
        <v>398</v>
      </c>
      <c r="K26" s="43" t="s">
        <v>95</v>
      </c>
      <c r="L26" s="44" t="s">
        <v>34</v>
      </c>
      <c r="M26" s="45" t="s">
        <v>10</v>
      </c>
      <c r="N26" s="45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4">
        <v>20.0</v>
      </c>
      <c r="B27" s="29" t="str">
        <f t="shared" si="1"/>
        <v>1185A-8x12</v>
      </c>
      <c r="C27" s="61">
        <f>VLOOKUP(B27,Stock!$B$2:$C$193,2,0)</f>
        <v>200</v>
      </c>
      <c r="D27" s="36" t="s">
        <v>49</v>
      </c>
      <c r="E27" s="37" t="str">
        <f>VLOOKUP(B27,RATES!$F$1:$G$152,2,0)</f>
        <v>#N/A</v>
      </c>
      <c r="F27" s="37" t="s">
        <v>51</v>
      </c>
      <c r="G27" s="62"/>
      <c r="H27" s="43"/>
      <c r="I27" s="37" t="s">
        <v>168</v>
      </c>
      <c r="J27" s="42" t="s">
        <v>405</v>
      </c>
      <c r="K27" s="43" t="s">
        <v>95</v>
      </c>
      <c r="L27" s="44" t="s">
        <v>34</v>
      </c>
      <c r="M27" s="45" t="s">
        <v>10</v>
      </c>
      <c r="N27" s="45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4">
        <v>21.0</v>
      </c>
      <c r="B28" s="29" t="str">
        <f t="shared" si="1"/>
        <v>1155A-8x12</v>
      </c>
      <c r="C28" s="61">
        <f>VLOOKUP(B28,Stock!$B$2:$C$193,2,0)</f>
        <v>210</v>
      </c>
      <c r="D28" s="36" t="s">
        <v>49</v>
      </c>
      <c r="E28" s="37" t="str">
        <f>VLOOKUP(B28,RATES!$F$1:$G$152,2,0)</f>
        <v>#N/A</v>
      </c>
      <c r="F28" s="37" t="s">
        <v>51</v>
      </c>
      <c r="G28" s="62"/>
      <c r="H28" s="43"/>
      <c r="I28" s="37" t="s">
        <v>168</v>
      </c>
      <c r="J28" s="42" t="s">
        <v>411</v>
      </c>
      <c r="K28" s="43" t="s">
        <v>95</v>
      </c>
      <c r="L28" s="44" t="s">
        <v>34</v>
      </c>
      <c r="M28" s="45" t="s">
        <v>10</v>
      </c>
      <c r="N28" s="45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4">
        <v>22.0</v>
      </c>
      <c r="B29" s="29" t="str">
        <f t="shared" si="1"/>
        <v>1154-8x12</v>
      </c>
      <c r="C29" s="61">
        <f>VLOOKUP(B29,Stock!$B$2:$C$193,2,0)</f>
        <v>190</v>
      </c>
      <c r="D29" s="36" t="s">
        <v>49</v>
      </c>
      <c r="E29" s="37" t="str">
        <f>VLOOKUP(B29,RATES!$F$1:$G$152,2,0)</f>
        <v>#N/A</v>
      </c>
      <c r="F29" s="37" t="s">
        <v>51</v>
      </c>
      <c r="G29" s="62"/>
      <c r="H29" s="43"/>
      <c r="I29" s="37" t="s">
        <v>168</v>
      </c>
      <c r="J29" s="42" t="s">
        <v>417</v>
      </c>
      <c r="K29" s="43" t="s">
        <v>95</v>
      </c>
      <c r="L29" s="44" t="s">
        <v>34</v>
      </c>
      <c r="M29" s="45" t="s">
        <v>10</v>
      </c>
      <c r="N29" s="45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4">
        <v>23.0</v>
      </c>
      <c r="B30" s="29" t="str">
        <f t="shared" si="1"/>
        <v>1105A-8x12</v>
      </c>
      <c r="C30" s="61">
        <f>VLOOKUP(B30,Stock!$B$2:$C$193,2,0)</f>
        <v>210</v>
      </c>
      <c r="D30" s="36" t="s">
        <v>49</v>
      </c>
      <c r="E30" s="37" t="str">
        <f>VLOOKUP(B30,RATES!$F$1:$G$152,2,0)</f>
        <v>#N/A</v>
      </c>
      <c r="F30" s="37" t="s">
        <v>51</v>
      </c>
      <c r="G30" s="62"/>
      <c r="H30" s="43"/>
      <c r="I30" s="37" t="s">
        <v>168</v>
      </c>
      <c r="J30" s="42" t="s">
        <v>424</v>
      </c>
      <c r="K30" s="43" t="s">
        <v>95</v>
      </c>
      <c r="L30" s="44" t="s">
        <v>34</v>
      </c>
      <c r="M30" s="45" t="s">
        <v>10</v>
      </c>
      <c r="N30" s="45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4">
        <v>24.0</v>
      </c>
      <c r="B31" s="29" t="str">
        <f t="shared" si="1"/>
        <v>1175A-8x12</v>
      </c>
      <c r="C31" s="61">
        <f>VLOOKUP(B31,Stock!$B$2:$C$193,2,0)</f>
        <v>200</v>
      </c>
      <c r="D31" s="36" t="s">
        <v>49</v>
      </c>
      <c r="E31" s="37" t="str">
        <f>VLOOKUP(B31,RATES!$F$1:$G$152,2,0)</f>
        <v>#N/A</v>
      </c>
      <c r="F31" s="37" t="s">
        <v>51</v>
      </c>
      <c r="G31" s="62"/>
      <c r="H31" s="43"/>
      <c r="I31" s="37" t="s">
        <v>168</v>
      </c>
      <c r="J31" s="42" t="s">
        <v>430</v>
      </c>
      <c r="K31" s="43" t="s">
        <v>95</v>
      </c>
      <c r="L31" s="44" t="s">
        <v>34</v>
      </c>
      <c r="M31" s="45" t="s">
        <v>10</v>
      </c>
      <c r="N31" s="45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4">
        <v>25.0</v>
      </c>
      <c r="B32" s="29" t="str">
        <f t="shared" si="1"/>
        <v>1145-8x12</v>
      </c>
      <c r="C32" s="61">
        <f>VLOOKUP(B32,Stock!$B$2:$C$193,2,0)</f>
        <v>200</v>
      </c>
      <c r="D32" s="36" t="s">
        <v>49</v>
      </c>
      <c r="E32" s="37" t="str">
        <f>VLOOKUP(B32,RATES!$F$1:$G$152,2,0)</f>
        <v>#N/A</v>
      </c>
      <c r="F32" s="37" t="s">
        <v>51</v>
      </c>
      <c r="G32" s="62"/>
      <c r="H32" s="43"/>
      <c r="I32" s="37" t="s">
        <v>168</v>
      </c>
      <c r="J32" s="42" t="s">
        <v>433</v>
      </c>
      <c r="K32" s="43" t="s">
        <v>95</v>
      </c>
      <c r="L32" s="44" t="s">
        <v>34</v>
      </c>
      <c r="M32" s="45" t="s">
        <v>10</v>
      </c>
      <c r="N32" s="45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4">
        <v>26.0</v>
      </c>
      <c r="B33" s="29" t="str">
        <f t="shared" si="1"/>
        <v>1125A-8x12</v>
      </c>
      <c r="C33" s="61">
        <f>VLOOKUP(B33,Stock!$B$2:$C$193,2,0)</f>
        <v>200</v>
      </c>
      <c r="D33" s="36" t="s">
        <v>49</v>
      </c>
      <c r="E33" s="37" t="str">
        <f>VLOOKUP(B33,RATES!$F$1:$G$152,2,0)</f>
        <v>#N/A</v>
      </c>
      <c r="F33" s="37" t="s">
        <v>51</v>
      </c>
      <c r="G33" s="62"/>
      <c r="H33" s="43"/>
      <c r="I33" s="37" t="s">
        <v>168</v>
      </c>
      <c r="J33" s="42" t="s">
        <v>440</v>
      </c>
      <c r="K33" s="43" t="s">
        <v>95</v>
      </c>
      <c r="L33" s="44" t="s">
        <v>34</v>
      </c>
      <c r="M33" s="45" t="s">
        <v>10</v>
      </c>
      <c r="N33" s="45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4">
        <v>27.0</v>
      </c>
      <c r="B34" s="29" t="str">
        <f t="shared" si="1"/>
        <v>1115A-8x12</v>
      </c>
      <c r="C34" s="61">
        <f>VLOOKUP(B34,Stock!$B$2:$C$193,2,0)</f>
        <v>190</v>
      </c>
      <c r="D34" s="36" t="s">
        <v>49</v>
      </c>
      <c r="E34" s="37" t="str">
        <f>VLOOKUP(B34,RATES!$F$1:$G$152,2,0)</f>
        <v>#N/A</v>
      </c>
      <c r="F34" s="37" t="s">
        <v>51</v>
      </c>
      <c r="G34" s="62"/>
      <c r="H34" s="43"/>
      <c r="I34" s="37" t="s">
        <v>168</v>
      </c>
      <c r="J34" s="42" t="s">
        <v>446</v>
      </c>
      <c r="K34" s="43" t="s">
        <v>95</v>
      </c>
      <c r="L34" s="44" t="s">
        <v>34</v>
      </c>
      <c r="M34" s="45" t="s">
        <v>10</v>
      </c>
      <c r="N34" s="45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4">
        <v>28.0</v>
      </c>
      <c r="B35" s="29" t="str">
        <f t="shared" si="1"/>
        <v>1045A-12x12</v>
      </c>
      <c r="C35" s="61">
        <f>VLOOKUP(B35,Stock!$B$2:$C$193,2,0)</f>
        <v>200</v>
      </c>
      <c r="D35" s="36" t="s">
        <v>49</v>
      </c>
      <c r="E35" s="37" t="str">
        <f>VLOOKUP(B35,RATES!$F$1:$G$152,2,0)</f>
        <v>#N/A</v>
      </c>
      <c r="F35" s="37" t="s">
        <v>51</v>
      </c>
      <c r="G35" s="62"/>
      <c r="H35" s="43"/>
      <c r="I35" s="37" t="s">
        <v>299</v>
      </c>
      <c r="J35" s="42" t="s">
        <v>452</v>
      </c>
      <c r="K35" s="43" t="s">
        <v>95</v>
      </c>
      <c r="L35" s="44" t="s">
        <v>48</v>
      </c>
      <c r="M35" s="45" t="s">
        <v>10</v>
      </c>
      <c r="N35" s="45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4">
        <v>29.0</v>
      </c>
      <c r="B36" s="29" t="str">
        <f t="shared" si="1"/>
        <v>1075A-12x12</v>
      </c>
      <c r="C36" s="61">
        <f>VLOOKUP(B36,Stock!$B$2:$C$193,2,0)</f>
        <v>200</v>
      </c>
      <c r="D36" s="36" t="s">
        <v>49</v>
      </c>
      <c r="E36" s="37" t="str">
        <f>VLOOKUP(B36,RATES!$F$1:$G$152,2,0)</f>
        <v>#N/A</v>
      </c>
      <c r="F36" s="37" t="s">
        <v>51</v>
      </c>
      <c r="G36" s="62"/>
      <c r="H36" s="43"/>
      <c r="I36" s="37" t="s">
        <v>299</v>
      </c>
      <c r="J36" s="42" t="s">
        <v>457</v>
      </c>
      <c r="K36" s="43" t="s">
        <v>95</v>
      </c>
      <c r="L36" s="44" t="s">
        <v>48</v>
      </c>
      <c r="M36" s="45" t="s">
        <v>10</v>
      </c>
      <c r="N36" s="45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4">
        <v>30.0</v>
      </c>
      <c r="B37" s="29" t="str">
        <f t="shared" si="1"/>
        <v>1015A-12x12</v>
      </c>
      <c r="C37" s="61">
        <f>VLOOKUP(B37,Stock!$B$2:$C$193,2,0)</f>
        <v>200</v>
      </c>
      <c r="D37" s="36" t="s">
        <v>49</v>
      </c>
      <c r="E37" s="37" t="str">
        <f>VLOOKUP(B37,RATES!$F$1:$G$152,2,0)</f>
        <v>#N/A</v>
      </c>
      <c r="F37" s="37" t="s">
        <v>51</v>
      </c>
      <c r="G37" s="62"/>
      <c r="H37" s="43"/>
      <c r="I37" s="37" t="s">
        <v>299</v>
      </c>
      <c r="J37" s="42" t="s">
        <v>465</v>
      </c>
      <c r="K37" s="43" t="s">
        <v>95</v>
      </c>
      <c r="L37" s="44" t="s">
        <v>48</v>
      </c>
      <c r="M37" s="45" t="s">
        <v>10</v>
      </c>
      <c r="N37" s="45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4">
        <v>31.0</v>
      </c>
      <c r="B38" s="29" t="str">
        <f t="shared" si="1"/>
        <v>1005A-12x12</v>
      </c>
      <c r="C38" s="61">
        <f>VLOOKUP(B38,Stock!$B$2:$C$193,2,0)</f>
        <v>200</v>
      </c>
      <c r="D38" s="36" t="s">
        <v>49</v>
      </c>
      <c r="E38" s="37" t="str">
        <f>VLOOKUP(B38,RATES!$F$1:$G$152,2,0)</f>
        <v>#N/A</v>
      </c>
      <c r="F38" s="37" t="s">
        <v>51</v>
      </c>
      <c r="G38" s="62"/>
      <c r="H38" s="43"/>
      <c r="I38" s="37" t="s">
        <v>299</v>
      </c>
      <c r="J38" s="42" t="s">
        <v>471</v>
      </c>
      <c r="K38" s="43" t="s">
        <v>95</v>
      </c>
      <c r="L38" s="44" t="s">
        <v>48</v>
      </c>
      <c r="M38" s="45" t="s">
        <v>10</v>
      </c>
      <c r="N38" s="45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4">
        <v>32.0</v>
      </c>
      <c r="B39" s="29" t="str">
        <f t="shared" si="1"/>
        <v>1035A-12x12</v>
      </c>
      <c r="C39" s="61">
        <f>VLOOKUP(B39,Stock!$B$2:$C$193,2,0)</f>
        <v>200</v>
      </c>
      <c r="D39" s="36" t="s">
        <v>49</v>
      </c>
      <c r="E39" s="37" t="str">
        <f>VLOOKUP(B39,RATES!$F$1:$G$152,2,0)</f>
        <v>#N/A</v>
      </c>
      <c r="F39" s="37" t="s">
        <v>51</v>
      </c>
      <c r="G39" s="62"/>
      <c r="H39" s="43"/>
      <c r="I39" s="37" t="s">
        <v>299</v>
      </c>
      <c r="J39" s="42" t="s">
        <v>479</v>
      </c>
      <c r="K39" s="43" t="s">
        <v>95</v>
      </c>
      <c r="L39" s="44" t="s">
        <v>48</v>
      </c>
      <c r="M39" s="45" t="s">
        <v>10</v>
      </c>
      <c r="N39" s="45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4">
        <v>33.0</v>
      </c>
      <c r="B40" s="29" t="str">
        <f t="shared" si="1"/>
        <v>CT-41-12x12</v>
      </c>
      <c r="C40" s="61">
        <f>VLOOKUP(B40,Stock!$B$2:$C$193,2,0)</f>
        <v>200</v>
      </c>
      <c r="D40" s="36" t="s">
        <v>49</v>
      </c>
      <c r="E40" s="37" t="str">
        <f>VLOOKUP(B40,RATES!$F$1:$G$152,2,0)</f>
        <v>#N/A</v>
      </c>
      <c r="F40" s="37" t="s">
        <v>51</v>
      </c>
      <c r="G40" s="62"/>
      <c r="H40" s="43"/>
      <c r="I40" s="37" t="s">
        <v>299</v>
      </c>
      <c r="J40" s="42" t="s">
        <v>482</v>
      </c>
      <c r="K40" s="43" t="s">
        <v>95</v>
      </c>
      <c r="L40" s="44" t="s">
        <v>48</v>
      </c>
      <c r="M40" s="45" t="s">
        <v>10</v>
      </c>
      <c r="N40" s="45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4">
        <v>34.0</v>
      </c>
      <c r="B41" s="29" t="str">
        <f t="shared" si="1"/>
        <v>CT-42-12x12</v>
      </c>
      <c r="C41" s="61">
        <f>VLOOKUP(B41,Stock!$B$2:$C$193,2,0)</f>
        <v>150</v>
      </c>
      <c r="D41" s="36" t="s">
        <v>49</v>
      </c>
      <c r="E41" s="37" t="str">
        <f>VLOOKUP(B41,RATES!$F$1:$G$152,2,0)</f>
        <v>#N/A</v>
      </c>
      <c r="F41" s="37" t="s">
        <v>51</v>
      </c>
      <c r="G41" s="62"/>
      <c r="H41" s="43"/>
      <c r="I41" s="37" t="s">
        <v>299</v>
      </c>
      <c r="J41" s="42" t="s">
        <v>489</v>
      </c>
      <c r="K41" s="43" t="s">
        <v>95</v>
      </c>
      <c r="L41" s="44" t="s">
        <v>48</v>
      </c>
      <c r="M41" s="45" t="s">
        <v>10</v>
      </c>
      <c r="N41" s="45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4">
        <v>35.0</v>
      </c>
      <c r="B42" s="29" t="str">
        <f t="shared" si="1"/>
        <v>CT-43-12x12</v>
      </c>
      <c r="C42" s="61">
        <f>VLOOKUP(B42,Stock!$B$2:$C$193,2,0)</f>
        <v>150</v>
      </c>
      <c r="D42" s="36" t="s">
        <v>49</v>
      </c>
      <c r="E42" s="37" t="str">
        <f>VLOOKUP(B42,RATES!$F$1:$G$152,2,0)</f>
        <v>#N/A</v>
      </c>
      <c r="F42" s="37" t="s">
        <v>51</v>
      </c>
      <c r="G42" s="62"/>
      <c r="H42" s="43"/>
      <c r="I42" s="37" t="s">
        <v>299</v>
      </c>
      <c r="J42" s="42" t="s">
        <v>496</v>
      </c>
      <c r="K42" s="43" t="s">
        <v>95</v>
      </c>
      <c r="L42" s="44" t="s">
        <v>48</v>
      </c>
      <c r="M42" s="45" t="s">
        <v>10</v>
      </c>
      <c r="N42" s="45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4">
        <v>36.0</v>
      </c>
      <c r="B43" s="29" t="str">
        <f t="shared" si="1"/>
        <v>1125-10x15</v>
      </c>
      <c r="C43" s="61">
        <f>VLOOKUP(B43,Stock!$B$2:$C$193,2,0)</f>
        <v>150</v>
      </c>
      <c r="D43" s="36" t="s">
        <v>49</v>
      </c>
      <c r="E43" s="37" t="str">
        <f>VLOOKUP(B43,RATES!$F$1:$G$152,2,0)</f>
        <v>#N/A</v>
      </c>
      <c r="F43" s="37" t="s">
        <v>51</v>
      </c>
      <c r="G43" s="62"/>
      <c r="H43" s="43"/>
      <c r="I43" s="37" t="s">
        <v>285</v>
      </c>
      <c r="J43" s="42" t="s">
        <v>504</v>
      </c>
      <c r="K43" s="43" t="s">
        <v>95</v>
      </c>
      <c r="L43" s="44" t="s">
        <v>45</v>
      </c>
      <c r="M43" s="45" t="s">
        <v>10</v>
      </c>
      <c r="N43" s="45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4">
        <v>37.0</v>
      </c>
      <c r="B44" s="29" t="str">
        <f t="shared" si="1"/>
        <v>1195A-10x15</v>
      </c>
      <c r="C44" s="61">
        <f>VLOOKUP(B44,Stock!$B$2:$C$193,2,0)</f>
        <v>150</v>
      </c>
      <c r="D44" s="36" t="s">
        <v>49</v>
      </c>
      <c r="E44" s="37" t="str">
        <f>VLOOKUP(B44,RATES!$F$1:$G$152,2,0)</f>
        <v>#N/A</v>
      </c>
      <c r="F44" s="37" t="s">
        <v>51</v>
      </c>
      <c r="G44" s="62"/>
      <c r="H44" s="43"/>
      <c r="I44" s="37" t="s">
        <v>285</v>
      </c>
      <c r="J44" s="42" t="s">
        <v>398</v>
      </c>
      <c r="K44" s="43" t="s">
        <v>95</v>
      </c>
      <c r="L44" s="44" t="s">
        <v>45</v>
      </c>
      <c r="M44" s="45" t="s">
        <v>10</v>
      </c>
      <c r="N44" s="45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4">
        <v>38.0</v>
      </c>
      <c r="B45" s="29" t="str">
        <f t="shared" si="1"/>
        <v>1185-10x15</v>
      </c>
      <c r="C45" s="61">
        <f>VLOOKUP(B45,Stock!$B$2:$C$193,2,0)</f>
        <v>150</v>
      </c>
      <c r="D45" s="36" t="s">
        <v>49</v>
      </c>
      <c r="E45" s="37" t="str">
        <f>VLOOKUP(B45,RATES!$F$1:$G$152,2,0)</f>
        <v>#N/A</v>
      </c>
      <c r="F45" s="37" t="s">
        <v>51</v>
      </c>
      <c r="G45" s="62"/>
      <c r="H45" s="43"/>
      <c r="I45" s="37" t="s">
        <v>285</v>
      </c>
      <c r="J45" s="42" t="s">
        <v>514</v>
      </c>
      <c r="K45" s="43" t="s">
        <v>95</v>
      </c>
      <c r="L45" s="44" t="s">
        <v>45</v>
      </c>
      <c r="M45" s="45" t="s">
        <v>10</v>
      </c>
      <c r="N45" s="45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4">
        <v>39.0</v>
      </c>
      <c r="B46" s="29" t="str">
        <f t="shared" si="1"/>
        <v>1115-10x15</v>
      </c>
      <c r="C46" s="61">
        <f>VLOOKUP(B46,Stock!$B$2:$C$193,2,0)</f>
        <v>150</v>
      </c>
      <c r="D46" s="36" t="s">
        <v>49</v>
      </c>
      <c r="E46" s="37" t="str">
        <f>VLOOKUP(B46,RATES!$F$1:$G$152,2,0)</f>
        <v>#N/A</v>
      </c>
      <c r="F46" s="37" t="s">
        <v>51</v>
      </c>
      <c r="G46" s="62"/>
      <c r="H46" s="43"/>
      <c r="I46" s="37" t="s">
        <v>285</v>
      </c>
      <c r="J46" s="42" t="s">
        <v>520</v>
      </c>
      <c r="K46" s="43" t="s">
        <v>95</v>
      </c>
      <c r="L46" s="44" t="s">
        <v>45</v>
      </c>
      <c r="M46" s="45" t="s">
        <v>10</v>
      </c>
      <c r="N46" s="45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4">
        <v>40.0</v>
      </c>
      <c r="B47" s="29" t="str">
        <f t="shared" si="1"/>
        <v>1165A-10x15</v>
      </c>
      <c r="C47" s="61">
        <f>VLOOKUP(B47,Stock!$B$2:$C$193,2,0)</f>
        <v>150</v>
      </c>
      <c r="D47" s="36" t="s">
        <v>49</v>
      </c>
      <c r="E47" s="37" t="str">
        <f>VLOOKUP(B47,RATES!$F$1:$G$152,2,0)</f>
        <v>#N/A</v>
      </c>
      <c r="F47" s="37" t="s">
        <v>51</v>
      </c>
      <c r="G47" s="62"/>
      <c r="H47" s="43"/>
      <c r="I47" s="37" t="s">
        <v>285</v>
      </c>
      <c r="J47" s="42" t="s">
        <v>531</v>
      </c>
      <c r="K47" s="43" t="s">
        <v>95</v>
      </c>
      <c r="L47" s="44" t="s">
        <v>45</v>
      </c>
      <c r="M47" s="45" t="s">
        <v>10</v>
      </c>
      <c r="N47" s="45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4">
        <v>41.0</v>
      </c>
      <c r="B48" s="29" t="str">
        <f t="shared" si="1"/>
        <v>1175A-10x15</v>
      </c>
      <c r="C48" s="61">
        <f>VLOOKUP(B48,Stock!$B$2:$C$193,2,0)</f>
        <v>150</v>
      </c>
      <c r="D48" s="36" t="s">
        <v>49</v>
      </c>
      <c r="E48" s="37" t="str">
        <f>VLOOKUP(B48,RATES!$F$1:$G$152,2,0)</f>
        <v>#N/A</v>
      </c>
      <c r="F48" s="37" t="s">
        <v>51</v>
      </c>
      <c r="G48" s="62"/>
      <c r="H48" s="43"/>
      <c r="I48" s="37" t="s">
        <v>285</v>
      </c>
      <c r="J48" s="42" t="s">
        <v>430</v>
      </c>
      <c r="K48" s="43" t="s">
        <v>95</v>
      </c>
      <c r="L48" s="44" t="s">
        <v>45</v>
      </c>
      <c r="M48" s="45" t="s">
        <v>10</v>
      </c>
      <c r="N48" s="45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4">
        <v>42.0</v>
      </c>
      <c r="B49" s="29" t="str">
        <f t="shared" si="1"/>
        <v>1145A-10x15</v>
      </c>
      <c r="C49" s="61">
        <f>VLOOKUP(B49,Stock!$B$2:$C$193,2,0)</f>
        <v>150</v>
      </c>
      <c r="D49" s="36" t="s">
        <v>49</v>
      </c>
      <c r="E49" s="37" t="str">
        <f>VLOOKUP(B49,RATES!$F$1:$G$152,2,0)</f>
        <v>#N/A</v>
      </c>
      <c r="F49" s="37" t="s">
        <v>51</v>
      </c>
      <c r="G49" s="62"/>
      <c r="H49" s="43"/>
      <c r="I49" s="37" t="s">
        <v>285</v>
      </c>
      <c r="J49" s="42" t="s">
        <v>543</v>
      </c>
      <c r="K49" s="43" t="s">
        <v>95</v>
      </c>
      <c r="L49" s="44" t="s">
        <v>45</v>
      </c>
      <c r="M49" s="45" t="s">
        <v>10</v>
      </c>
      <c r="N49" s="45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4">
        <v>43.0</v>
      </c>
      <c r="B50" s="29" t="str">
        <f t="shared" si="1"/>
        <v>1155-10x15</v>
      </c>
      <c r="C50" s="61">
        <f>VLOOKUP(B50,Stock!$B$2:$C$193,2,0)</f>
        <v>150</v>
      </c>
      <c r="D50" s="36" t="s">
        <v>49</v>
      </c>
      <c r="E50" s="37" t="str">
        <f>VLOOKUP(B50,RATES!$F$1:$G$152,2,0)</f>
        <v>#N/A</v>
      </c>
      <c r="F50" s="37" t="s">
        <v>51</v>
      </c>
      <c r="G50" s="62"/>
      <c r="H50" s="43"/>
      <c r="I50" s="37" t="s">
        <v>285</v>
      </c>
      <c r="J50" s="42" t="s">
        <v>551</v>
      </c>
      <c r="K50" s="43" t="s">
        <v>95</v>
      </c>
      <c r="L50" s="44" t="s">
        <v>45</v>
      </c>
      <c r="M50" s="45" t="s">
        <v>10</v>
      </c>
      <c r="N50" s="45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4">
        <v>44.0</v>
      </c>
      <c r="B51" s="29" t="str">
        <f t="shared" si="1"/>
        <v>1115-12x18</v>
      </c>
      <c r="C51" s="61">
        <f>VLOOKUP(B51,Stock!$B$2:$C$193,2,0)</f>
        <v>150</v>
      </c>
      <c r="D51" s="36" t="s">
        <v>49</v>
      </c>
      <c r="E51" s="37" t="str">
        <f>VLOOKUP(B51,RATES!$F$1:$G$152,2,0)</f>
        <v>#N/A</v>
      </c>
      <c r="F51" s="37" t="s">
        <v>51</v>
      </c>
      <c r="G51" s="62"/>
      <c r="H51" s="43"/>
      <c r="I51" s="37" t="s">
        <v>316</v>
      </c>
      <c r="J51" s="42" t="s">
        <v>520</v>
      </c>
      <c r="K51" s="43" t="s">
        <v>95</v>
      </c>
      <c r="L51" s="44" t="s">
        <v>53</v>
      </c>
      <c r="M51" s="45" t="s">
        <v>10</v>
      </c>
      <c r="N51" s="45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4">
        <v>45.0</v>
      </c>
      <c r="B52" s="29" t="str">
        <f t="shared" si="1"/>
        <v>1165-12x18</v>
      </c>
      <c r="C52" s="61">
        <f>VLOOKUP(B52,Stock!$B$2:$C$193,2,0)</f>
        <v>150</v>
      </c>
      <c r="D52" s="36" t="s">
        <v>49</v>
      </c>
      <c r="E52" s="37" t="str">
        <f>VLOOKUP(B52,RATES!$F$1:$G$152,2,0)</f>
        <v>#N/A</v>
      </c>
      <c r="F52" s="37" t="s">
        <v>51</v>
      </c>
      <c r="G52" s="62"/>
      <c r="H52" s="43"/>
      <c r="I52" s="37" t="s">
        <v>316</v>
      </c>
      <c r="J52" s="42" t="s">
        <v>561</v>
      </c>
      <c r="K52" s="43" t="s">
        <v>95</v>
      </c>
      <c r="L52" s="44" t="s">
        <v>53</v>
      </c>
      <c r="M52" s="45" t="s">
        <v>10</v>
      </c>
      <c r="N52" s="45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4">
        <v>46.0</v>
      </c>
      <c r="B53" s="29" t="str">
        <f t="shared" si="1"/>
        <v>1155-12x18</v>
      </c>
      <c r="C53" s="61">
        <f>VLOOKUP(B53,Stock!$B$2:$C$193,2,0)</f>
        <v>150</v>
      </c>
      <c r="D53" s="36" t="s">
        <v>49</v>
      </c>
      <c r="E53" s="37" t="str">
        <f>VLOOKUP(B53,RATES!$F$1:$G$152,2,0)</f>
        <v>#N/A</v>
      </c>
      <c r="F53" s="37" t="s">
        <v>51</v>
      </c>
      <c r="G53" s="62"/>
      <c r="H53" s="43"/>
      <c r="I53" s="37" t="s">
        <v>316</v>
      </c>
      <c r="J53" s="42" t="s">
        <v>551</v>
      </c>
      <c r="K53" s="43" t="s">
        <v>95</v>
      </c>
      <c r="L53" s="44" t="s">
        <v>53</v>
      </c>
      <c r="M53" s="45" t="s">
        <v>10</v>
      </c>
      <c r="N53" s="45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4">
        <v>47.0</v>
      </c>
      <c r="B54" s="29" t="str">
        <f t="shared" si="1"/>
        <v>1145-12x18</v>
      </c>
      <c r="C54" s="61">
        <f>VLOOKUP(B54,Stock!$B$2:$C$193,2,0)</f>
        <v>150</v>
      </c>
      <c r="D54" s="36" t="s">
        <v>49</v>
      </c>
      <c r="E54" s="37" t="str">
        <f>VLOOKUP(B54,RATES!$F$1:$G$152,2,0)</f>
        <v>#N/A</v>
      </c>
      <c r="F54" s="37" t="s">
        <v>51</v>
      </c>
      <c r="G54" s="62"/>
      <c r="H54" s="43"/>
      <c r="I54" s="37" t="s">
        <v>316</v>
      </c>
      <c r="J54" s="42" t="s">
        <v>433</v>
      </c>
      <c r="K54" s="43" t="s">
        <v>95</v>
      </c>
      <c r="L54" s="44" t="s">
        <v>53</v>
      </c>
      <c r="M54" s="45" t="s">
        <v>10</v>
      </c>
      <c r="N54" s="45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4">
        <v>48.0</v>
      </c>
      <c r="B55" s="29" t="str">
        <f t="shared" si="1"/>
        <v>1124-12x18</v>
      </c>
      <c r="C55" s="61">
        <f>VLOOKUP(B55,Stock!$B$2:$C$193,2,0)</f>
        <v>66</v>
      </c>
      <c r="D55" s="36" t="s">
        <v>49</v>
      </c>
      <c r="E55" s="37" t="str">
        <f>VLOOKUP(B55,RATES!$F$1:$G$152,2,0)</f>
        <v>#N/A</v>
      </c>
      <c r="F55" s="37" t="s">
        <v>51</v>
      </c>
      <c r="G55" s="62"/>
      <c r="H55" s="43"/>
      <c r="I55" s="37" t="s">
        <v>316</v>
      </c>
      <c r="J55" s="42" t="s">
        <v>576</v>
      </c>
      <c r="K55" s="43" t="s">
        <v>95</v>
      </c>
      <c r="L55" s="44" t="s">
        <v>53</v>
      </c>
      <c r="M55" s="45" t="s">
        <v>10</v>
      </c>
      <c r="N55" s="45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4">
        <v>49.0</v>
      </c>
      <c r="B56" s="29" t="str">
        <f t="shared" si="1"/>
        <v>1185-12x18</v>
      </c>
      <c r="C56" s="61">
        <f>VLOOKUP(B56,Stock!$B$2:$C$193,2,0)</f>
        <v>150</v>
      </c>
      <c r="D56" s="36" t="s">
        <v>49</v>
      </c>
      <c r="E56" s="37" t="str">
        <f>VLOOKUP(B56,RATES!$F$1:$G$152,2,0)</f>
        <v>#N/A</v>
      </c>
      <c r="F56" s="37" t="s">
        <v>51</v>
      </c>
      <c r="G56" s="62"/>
      <c r="H56" s="43"/>
      <c r="I56" s="37" t="s">
        <v>316</v>
      </c>
      <c r="J56" s="42" t="s">
        <v>514</v>
      </c>
      <c r="K56" s="43" t="s">
        <v>95</v>
      </c>
      <c r="L56" s="44" t="s">
        <v>53</v>
      </c>
      <c r="M56" s="45" t="s">
        <v>10</v>
      </c>
      <c r="N56" s="45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4">
        <v>50.0</v>
      </c>
      <c r="B57" s="29" t="str">
        <f t="shared" si="1"/>
        <v>2005-2x1</v>
      </c>
      <c r="C57" s="61">
        <f>VLOOKUP(B57,Stock!$B$2:$C$193,2,0)</f>
        <v>30</v>
      </c>
      <c r="D57" s="36" t="s">
        <v>49</v>
      </c>
      <c r="E57" s="37">
        <f>VLOOKUP(B57,RATES!$F$1:$G$152,2,0)</f>
        <v>345</v>
      </c>
      <c r="F57" s="37" t="s">
        <v>295</v>
      </c>
      <c r="G57" s="62"/>
      <c r="H57" s="43"/>
      <c r="I57" s="37" t="s">
        <v>86</v>
      </c>
      <c r="J57" s="42" t="s">
        <v>296</v>
      </c>
      <c r="K57" s="43" t="s">
        <v>95</v>
      </c>
      <c r="L57" s="44" t="s">
        <v>3</v>
      </c>
      <c r="M57" s="45" t="s">
        <v>10</v>
      </c>
      <c r="N57" s="45">
        <v>1.0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4">
        <v>52.0</v>
      </c>
      <c r="B58" s="29" t="str">
        <f t="shared" si="1"/>
        <v>2005-4x1</v>
      </c>
      <c r="C58" s="61">
        <f>VLOOKUP(B58,Stock!$B$2:$C$193,2,0)</f>
        <v>30</v>
      </c>
      <c r="D58" s="36" t="s">
        <v>49</v>
      </c>
      <c r="E58" s="37">
        <f>VLOOKUP(B58,RATES!$F$1:$G$152,2,0)</f>
        <v>570</v>
      </c>
      <c r="F58" s="37" t="s">
        <v>295</v>
      </c>
      <c r="G58" s="62"/>
      <c r="H58" s="43"/>
      <c r="I58" s="37" t="s">
        <v>229</v>
      </c>
      <c r="J58" s="42" t="s">
        <v>296</v>
      </c>
      <c r="K58" s="43" t="s">
        <v>95</v>
      </c>
      <c r="L58" s="44" t="s">
        <v>93</v>
      </c>
      <c r="M58" s="45" t="s">
        <v>10</v>
      </c>
      <c r="N58" s="45">
        <v>1.0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4">
        <v>53.0</v>
      </c>
      <c r="B59" s="29" t="str">
        <f t="shared" si="1"/>
        <v>2015-2x1</v>
      </c>
      <c r="C59" s="61">
        <f>VLOOKUP(B59,Stock!$B$2:$C$193,2,0)</f>
        <v>30</v>
      </c>
      <c r="D59" s="36" t="s">
        <v>49</v>
      </c>
      <c r="E59" s="37">
        <f>VLOOKUP(B59,RATES!$F$1:$G$152,2,0)</f>
        <v>345</v>
      </c>
      <c r="F59" s="37" t="s">
        <v>295</v>
      </c>
      <c r="G59" s="62"/>
      <c r="H59" s="43"/>
      <c r="I59" s="37" t="s">
        <v>86</v>
      </c>
      <c r="J59" s="42" t="s">
        <v>456</v>
      </c>
      <c r="K59" s="43" t="s">
        <v>95</v>
      </c>
      <c r="L59" s="44" t="s">
        <v>3</v>
      </c>
      <c r="M59" s="45" t="s">
        <v>10</v>
      </c>
      <c r="N59" s="45">
        <v>1.0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4">
        <v>54.0</v>
      </c>
      <c r="B60" s="29" t="str">
        <f t="shared" si="1"/>
        <v>2015-3x1</v>
      </c>
      <c r="C60" s="61">
        <f>VLOOKUP(B60,Stock!$B$2:$C$193,2,0)</f>
        <v>30</v>
      </c>
      <c r="D60" s="36" t="s">
        <v>49</v>
      </c>
      <c r="E60" s="37" t="str">
        <f>VLOOKUP(B60,RATES!$F$1:$G$152,2,0)</f>
        <v>#N/A</v>
      </c>
      <c r="F60" s="37" t="s">
        <v>295</v>
      </c>
      <c r="G60" s="62"/>
      <c r="H60" s="43"/>
      <c r="I60" s="37" t="s">
        <v>168</v>
      </c>
      <c r="J60" s="42" t="s">
        <v>456</v>
      </c>
      <c r="K60" s="43" t="s">
        <v>95</v>
      </c>
      <c r="L60" s="44" t="s">
        <v>81</v>
      </c>
      <c r="M60" s="45" t="s">
        <v>10</v>
      </c>
      <c r="N60" s="45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4">
        <v>62.0</v>
      </c>
      <c r="B61" s="29" t="str">
        <f t="shared" si="1"/>
        <v>235B-4x1</v>
      </c>
      <c r="C61" s="61">
        <f>VLOOKUP(B61,Stock!$B$2:$C$193,2,0)</f>
        <v>30</v>
      </c>
      <c r="D61" s="36" t="s">
        <v>49</v>
      </c>
      <c r="E61" s="37">
        <f>VLOOKUP(B61,RATES!$F$1:$G$152,2,0)</f>
        <v>675</v>
      </c>
      <c r="F61" s="37" t="s">
        <v>295</v>
      </c>
      <c r="G61" s="62"/>
      <c r="H61" s="43"/>
      <c r="I61" s="37" t="s">
        <v>285</v>
      </c>
      <c r="J61" s="42" t="s">
        <v>460</v>
      </c>
      <c r="K61" s="43" t="s">
        <v>95</v>
      </c>
      <c r="L61" s="44" t="s">
        <v>93</v>
      </c>
      <c r="M61" s="45" t="s">
        <v>10</v>
      </c>
      <c r="N61" s="45">
        <v>1.0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4">
        <v>56.0</v>
      </c>
      <c r="B62" s="29" t="str">
        <f t="shared" si="1"/>
        <v>225A-2x1</v>
      </c>
      <c r="C62" s="61">
        <f>VLOOKUP(B62,Stock!$B$2:$C$193,2,0)</f>
        <v>30</v>
      </c>
      <c r="D62" s="36" t="s">
        <v>49</v>
      </c>
      <c r="E62" s="37">
        <f>VLOOKUP(B62,RATES!$F$1:$G$152,2,0)</f>
        <v>490</v>
      </c>
      <c r="F62" s="37" t="s">
        <v>295</v>
      </c>
      <c r="G62" s="62"/>
      <c r="H62" s="43"/>
      <c r="I62" s="37" t="s">
        <v>86</v>
      </c>
      <c r="J62" s="42" t="s">
        <v>298</v>
      </c>
      <c r="K62" s="43" t="s">
        <v>95</v>
      </c>
      <c r="L62" s="44" t="s">
        <v>3</v>
      </c>
      <c r="M62" s="45" t="s">
        <v>10</v>
      </c>
      <c r="N62" s="45">
        <v>1.0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4">
        <v>78.0</v>
      </c>
      <c r="B63" s="29" t="str">
        <f t="shared" si="1"/>
        <v>215B-4x1</v>
      </c>
      <c r="C63" s="61">
        <f>VLOOKUP(B63,Stock!$B$2:$C$193,2,0)</f>
        <v>30</v>
      </c>
      <c r="D63" s="36" t="s">
        <v>49</v>
      </c>
      <c r="E63" s="37">
        <f>VLOOKUP(B63,RATES!$F$1:$G$152,2,0)</f>
        <v>675</v>
      </c>
      <c r="F63" s="37" t="s">
        <v>295</v>
      </c>
      <c r="G63" s="62"/>
      <c r="H63" s="43"/>
      <c r="I63" s="37" t="s">
        <v>229</v>
      </c>
      <c r="J63" s="42" t="s">
        <v>304</v>
      </c>
      <c r="K63" s="43" t="s">
        <v>95</v>
      </c>
      <c r="L63" s="44" t="s">
        <v>93</v>
      </c>
      <c r="M63" s="45" t="s">
        <v>10</v>
      </c>
      <c r="N63" s="45">
        <v>1.0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4">
        <v>63.0</v>
      </c>
      <c r="B64" s="29" t="str">
        <f t="shared" si="1"/>
        <v>235B-6x1</v>
      </c>
      <c r="C64" s="61">
        <f>VLOOKUP(B64,Stock!$B$2:$C$193,2,0)</f>
        <v>30</v>
      </c>
      <c r="D64" s="36" t="s">
        <v>49</v>
      </c>
      <c r="E64" s="37">
        <f>VLOOKUP(B64,RATES!$F$1:$G$152,2,0)</f>
        <v>820</v>
      </c>
      <c r="F64" s="37" t="s">
        <v>295</v>
      </c>
      <c r="G64" s="62"/>
      <c r="H64" s="43"/>
      <c r="I64" s="37" t="s">
        <v>316</v>
      </c>
      <c r="J64" s="42" t="s">
        <v>460</v>
      </c>
      <c r="K64" s="43" t="s">
        <v>95</v>
      </c>
      <c r="L64" s="44" t="s">
        <v>100</v>
      </c>
      <c r="M64" s="45" t="s">
        <v>10</v>
      </c>
      <c r="N64" s="45">
        <v>1.0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4">
        <v>60.0</v>
      </c>
      <c r="B65" s="29" t="str">
        <f t="shared" si="1"/>
        <v>235B-2x1</v>
      </c>
      <c r="C65" s="61">
        <f>VLOOKUP(B65,Stock!$B$2:$C$193,2,0)</f>
        <v>30</v>
      </c>
      <c r="D65" s="36" t="s">
        <v>49</v>
      </c>
      <c r="E65" s="37">
        <f>VLOOKUP(B65,RATES!$F$1:$G$152,2,0)</f>
        <v>495</v>
      </c>
      <c r="F65" s="37" t="s">
        <v>295</v>
      </c>
      <c r="G65" s="62"/>
      <c r="H65" s="43"/>
      <c r="I65" s="37" t="s">
        <v>168</v>
      </c>
      <c r="J65" s="42" t="s">
        <v>460</v>
      </c>
      <c r="K65" s="43" t="s">
        <v>95</v>
      </c>
      <c r="L65" s="44" t="s">
        <v>3</v>
      </c>
      <c r="M65" s="45" t="s">
        <v>10</v>
      </c>
      <c r="N65" s="45">
        <v>1.0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4">
        <v>61.0</v>
      </c>
      <c r="B66" s="29" t="str">
        <f t="shared" si="1"/>
        <v>235B-3x1</v>
      </c>
      <c r="C66" s="61">
        <f>VLOOKUP(B66,Stock!$B$2:$C$193,2,0)</f>
        <v>30</v>
      </c>
      <c r="D66" s="36" t="s">
        <v>49</v>
      </c>
      <c r="E66" s="37" t="str">
        <f>VLOOKUP(B66,RATES!$F$1:$G$152,2,0)</f>
        <v>#N/A</v>
      </c>
      <c r="F66" s="37" t="s">
        <v>295</v>
      </c>
      <c r="G66" s="62"/>
      <c r="H66" s="43"/>
      <c r="I66" s="37" t="s">
        <v>306</v>
      </c>
      <c r="J66" s="42" t="s">
        <v>460</v>
      </c>
      <c r="K66" s="43" t="s">
        <v>95</v>
      </c>
      <c r="L66" s="44" t="s">
        <v>81</v>
      </c>
      <c r="M66" s="45" t="s">
        <v>10</v>
      </c>
      <c r="N66" s="45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4">
        <v>82.0</v>
      </c>
      <c r="B67" s="29" t="str">
        <f t="shared" si="1"/>
        <v>235A-4x1</v>
      </c>
      <c r="C67" s="61">
        <f>VLOOKUP(B67,Stock!$B$2:$C$193,2,0)</f>
        <v>30</v>
      </c>
      <c r="D67" s="36" t="s">
        <v>49</v>
      </c>
      <c r="E67" s="37">
        <f>VLOOKUP(B67,RATES!$F$1:$G$152,2,0)</f>
        <v>675</v>
      </c>
      <c r="F67" s="37" t="s">
        <v>295</v>
      </c>
      <c r="G67" s="62"/>
      <c r="H67" s="43"/>
      <c r="I67" s="37" t="s">
        <v>285</v>
      </c>
      <c r="J67" s="42" t="s">
        <v>467</v>
      </c>
      <c r="K67" s="43" t="s">
        <v>95</v>
      </c>
      <c r="L67" s="44" t="s">
        <v>93</v>
      </c>
      <c r="M67" s="45" t="s">
        <v>10</v>
      </c>
      <c r="N67" s="45">
        <v>1.0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4">
        <v>79.0</v>
      </c>
      <c r="B68" s="29" t="str">
        <f t="shared" si="1"/>
        <v>215B-6x1</v>
      </c>
      <c r="C68" s="61">
        <f>VLOOKUP(B68,Stock!$B$2:$C$193,2,0)</f>
        <v>30</v>
      </c>
      <c r="D68" s="36" t="s">
        <v>49</v>
      </c>
      <c r="E68" s="37">
        <f>VLOOKUP(B68,RATES!$F$1:$G$152,2,0)</f>
        <v>820</v>
      </c>
      <c r="F68" s="37" t="s">
        <v>295</v>
      </c>
      <c r="G68" s="62"/>
      <c r="H68" s="43"/>
      <c r="I68" s="37" t="s">
        <v>285</v>
      </c>
      <c r="J68" s="42" t="s">
        <v>304</v>
      </c>
      <c r="K68" s="43" t="s">
        <v>95</v>
      </c>
      <c r="L68" s="44" t="s">
        <v>100</v>
      </c>
      <c r="M68" s="45" t="s">
        <v>10</v>
      </c>
      <c r="N68" s="45">
        <v>1.0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4">
        <v>64.0</v>
      </c>
      <c r="B69" s="29" t="str">
        <f t="shared" si="1"/>
        <v>275B-2x1</v>
      </c>
      <c r="C69" s="61">
        <f>VLOOKUP(B69,Stock!$B$2:$C$193,2,0)</f>
        <v>30</v>
      </c>
      <c r="D69" s="36" t="s">
        <v>49</v>
      </c>
      <c r="E69" s="37">
        <f>VLOOKUP(B69,RATES!$F$1:$G$152,2,0)</f>
        <v>495</v>
      </c>
      <c r="F69" s="37" t="s">
        <v>295</v>
      </c>
      <c r="G69" s="62"/>
      <c r="H69" s="43"/>
      <c r="I69" s="37" t="s">
        <v>229</v>
      </c>
      <c r="J69" s="42" t="s">
        <v>301</v>
      </c>
      <c r="K69" s="43" t="s">
        <v>95</v>
      </c>
      <c r="L69" s="44" t="s">
        <v>3</v>
      </c>
      <c r="M69" s="45" t="s">
        <v>10</v>
      </c>
      <c r="N69" s="45">
        <v>1.0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4">
        <v>108.0</v>
      </c>
      <c r="B70" s="29" t="str">
        <f t="shared" si="1"/>
        <v>7005-4x1</v>
      </c>
      <c r="C70" s="61">
        <f>VLOOKUP(B70,Stock!$B$2:$C$193,2,0)</f>
        <v>50</v>
      </c>
      <c r="D70" s="36" t="s">
        <v>49</v>
      </c>
      <c r="E70" s="37">
        <f>VLOOKUP(B70,RATES!$F$1:$G$152,2,0)</f>
        <v>750</v>
      </c>
      <c r="F70" s="37" t="s">
        <v>295</v>
      </c>
      <c r="G70" s="62"/>
      <c r="H70" s="43"/>
      <c r="I70" s="37" t="s">
        <v>86</v>
      </c>
      <c r="J70" s="42" t="s">
        <v>472</v>
      </c>
      <c r="K70" s="43" t="s">
        <v>95</v>
      </c>
      <c r="L70" s="44" t="s">
        <v>93</v>
      </c>
      <c r="M70" s="45" t="s">
        <v>10</v>
      </c>
      <c r="N70" s="45">
        <v>1.0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4">
        <v>83.0</v>
      </c>
      <c r="B71" s="29" t="str">
        <f t="shared" si="1"/>
        <v>235A-6x1</v>
      </c>
      <c r="C71" s="61">
        <f>VLOOKUP(B71,Stock!$B$2:$C$193,2,0)</f>
        <v>30</v>
      </c>
      <c r="D71" s="36" t="s">
        <v>49</v>
      </c>
      <c r="E71" s="37">
        <f>VLOOKUP(B71,RATES!$F$1:$G$152,2,0)</f>
        <v>820</v>
      </c>
      <c r="F71" s="37" t="s">
        <v>295</v>
      </c>
      <c r="G71" s="62"/>
      <c r="H71" s="43"/>
      <c r="I71" s="37" t="s">
        <v>316</v>
      </c>
      <c r="J71" s="42" t="s">
        <v>467</v>
      </c>
      <c r="K71" s="43" t="s">
        <v>95</v>
      </c>
      <c r="L71" s="44" t="s">
        <v>100</v>
      </c>
      <c r="M71" s="45" t="s">
        <v>10</v>
      </c>
      <c r="N71" s="45">
        <v>1.0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4">
        <v>68.0</v>
      </c>
      <c r="B72" s="29" t="str">
        <f t="shared" si="1"/>
        <v>245B-2x1</v>
      </c>
      <c r="C72" s="61">
        <f>VLOOKUP(B72,Stock!$B$2:$C$193,2,0)</f>
        <v>30</v>
      </c>
      <c r="D72" s="36" t="s">
        <v>49</v>
      </c>
      <c r="E72" s="37">
        <f>VLOOKUP(B72,RATES!$F$1:$G$152,2,0)</f>
        <v>495</v>
      </c>
      <c r="F72" s="37" t="s">
        <v>295</v>
      </c>
      <c r="G72" s="62"/>
      <c r="H72" s="43"/>
      <c r="I72" s="37" t="s">
        <v>168</v>
      </c>
      <c r="J72" s="42" t="s">
        <v>463</v>
      </c>
      <c r="K72" s="43" t="s">
        <v>95</v>
      </c>
      <c r="L72" s="44" t="s">
        <v>3</v>
      </c>
      <c r="M72" s="45" t="s">
        <v>10</v>
      </c>
      <c r="N72" s="45">
        <v>1.0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4">
        <v>69.0</v>
      </c>
      <c r="B73" s="29" t="str">
        <f t="shared" si="1"/>
        <v>245B-3x1</v>
      </c>
      <c r="C73" s="61">
        <f>VLOOKUP(B73,Stock!$B$2:$C$193,2,0)</f>
        <v>30</v>
      </c>
      <c r="D73" s="36" t="s">
        <v>49</v>
      </c>
      <c r="E73" s="37" t="str">
        <f>VLOOKUP(B73,RATES!$F$1:$G$152,2,0)</f>
        <v>#N/A</v>
      </c>
      <c r="F73" s="37" t="s">
        <v>295</v>
      </c>
      <c r="G73" s="62"/>
      <c r="H73" s="43"/>
      <c r="I73" s="37" t="s">
        <v>306</v>
      </c>
      <c r="J73" s="42" t="s">
        <v>463</v>
      </c>
      <c r="K73" s="43" t="s">
        <v>95</v>
      </c>
      <c r="L73" s="44" t="s">
        <v>81</v>
      </c>
      <c r="M73" s="45" t="s">
        <v>10</v>
      </c>
      <c r="N73" s="45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4">
        <v>110.0</v>
      </c>
      <c r="B74" s="29" t="str">
        <f t="shared" si="1"/>
        <v>7004-4x1</v>
      </c>
      <c r="C74" s="61">
        <f>VLOOKUP(B74,Stock!$B$2:$C$193,2,0)</f>
        <v>50</v>
      </c>
      <c r="D74" s="36" t="s">
        <v>49</v>
      </c>
      <c r="E74" s="37">
        <f>VLOOKUP(B74,RATES!$F$1:$G$152,2,0)</f>
        <v>750</v>
      </c>
      <c r="F74" s="37" t="s">
        <v>295</v>
      </c>
      <c r="G74" s="62"/>
      <c r="H74" s="43"/>
      <c r="I74" s="37" t="s">
        <v>285</v>
      </c>
      <c r="J74" s="42" t="s">
        <v>474</v>
      </c>
      <c r="K74" s="43" t="s">
        <v>95</v>
      </c>
      <c r="L74" s="44" t="s">
        <v>93</v>
      </c>
      <c r="M74" s="45" t="s">
        <v>10</v>
      </c>
      <c r="N74" s="45">
        <v>1.0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4">
        <v>99.0</v>
      </c>
      <c r="B75" s="29" t="str">
        <f t="shared" si="1"/>
        <v>205B-6x1</v>
      </c>
      <c r="C75" s="61">
        <f>VLOOKUP(B75,Stock!$B$2:$C$193,2,0)</f>
        <v>60</v>
      </c>
      <c r="D75" s="36" t="s">
        <v>49</v>
      </c>
      <c r="E75" s="37">
        <f>VLOOKUP(B75,RATES!$F$1:$G$152,2,0)</f>
        <v>820</v>
      </c>
      <c r="F75" s="37" t="s">
        <v>295</v>
      </c>
      <c r="G75" s="62"/>
      <c r="H75" s="43"/>
      <c r="I75" s="37" t="s">
        <v>285</v>
      </c>
      <c r="J75" s="42" t="s">
        <v>485</v>
      </c>
      <c r="K75" s="43" t="s">
        <v>95</v>
      </c>
      <c r="L75" s="44" t="s">
        <v>100</v>
      </c>
      <c r="M75" s="45" t="s">
        <v>10</v>
      </c>
      <c r="N75" s="45">
        <v>1.0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4">
        <v>72.0</v>
      </c>
      <c r="B76" s="29" t="str">
        <f t="shared" si="1"/>
        <v>265B-2x1</v>
      </c>
      <c r="C76" s="61">
        <f>VLOOKUP(B76,Stock!$B$2:$C$193,2,0)</f>
        <v>30</v>
      </c>
      <c r="D76" s="36" t="s">
        <v>49</v>
      </c>
      <c r="E76" s="37">
        <f>VLOOKUP(B76,RATES!$F$1:$G$152,2,0)</f>
        <v>495</v>
      </c>
      <c r="F76" s="37" t="s">
        <v>295</v>
      </c>
      <c r="G76" s="62"/>
      <c r="H76" s="43"/>
      <c r="I76" s="37" t="s">
        <v>229</v>
      </c>
      <c r="J76" s="42" t="s">
        <v>464</v>
      </c>
      <c r="K76" s="43" t="s">
        <v>95</v>
      </c>
      <c r="L76" s="44" t="s">
        <v>3</v>
      </c>
      <c r="M76" s="45" t="s">
        <v>10</v>
      </c>
      <c r="N76" s="45">
        <v>1.0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4">
        <v>73.0</v>
      </c>
      <c r="B77" s="29" t="str">
        <f t="shared" si="1"/>
        <v>265B-3x1</v>
      </c>
      <c r="C77" s="61">
        <f>VLOOKUP(B77,Stock!$B$2:$C$193,2,0)</f>
        <v>30</v>
      </c>
      <c r="D77" s="36" t="s">
        <v>49</v>
      </c>
      <c r="E77" s="37" t="str">
        <f>VLOOKUP(B77,RATES!$F$1:$G$152,2,0)</f>
        <v>#N/A</v>
      </c>
      <c r="F77" s="37" t="s">
        <v>295</v>
      </c>
      <c r="G77" s="62"/>
      <c r="H77" s="43"/>
      <c r="I77" s="37" t="s">
        <v>285</v>
      </c>
      <c r="J77" s="42" t="s">
        <v>464</v>
      </c>
      <c r="K77" s="43" t="s">
        <v>95</v>
      </c>
      <c r="L77" s="44" t="s">
        <v>81</v>
      </c>
      <c r="M77" s="45" t="s">
        <v>10</v>
      </c>
      <c r="N77" s="45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4">
        <v>142.0</v>
      </c>
      <c r="B78" s="29" t="str">
        <f t="shared" si="1"/>
        <v>214A-4x1</v>
      </c>
      <c r="C78" s="61">
        <f>VLOOKUP(B78,Stock!$B$2:$C$193,2,0)</f>
        <v>6</v>
      </c>
      <c r="D78" s="36" t="s">
        <v>49</v>
      </c>
      <c r="E78" s="37">
        <f>VLOOKUP(B78,RATES!$F$1:$G$152,2,0)</f>
        <v>680</v>
      </c>
      <c r="F78" s="37" t="s">
        <v>295</v>
      </c>
      <c r="G78" s="62" t="str">
        <f>vlookup(B78,'2024'!$A$1:$F$134,6,0)</f>
        <v>214A  4 X 1.png</v>
      </c>
      <c r="H78" s="43"/>
      <c r="I78" s="36" t="str">
        <f>vlookup(B78,'2024'!$A$1:$G$134,7,0)</f>
        <v>800 G</v>
      </c>
      <c r="J78" s="42" t="s">
        <v>409</v>
      </c>
      <c r="K78" s="41" t="s">
        <v>95</v>
      </c>
      <c r="L78" s="44" t="s">
        <v>93</v>
      </c>
      <c r="M78" s="45"/>
      <c r="N78" s="45">
        <v>1.0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4">
        <v>104.0</v>
      </c>
      <c r="B79" s="29" t="str">
        <f t="shared" si="1"/>
        <v>325-6x1</v>
      </c>
      <c r="C79" s="61">
        <f>VLOOKUP(B79,Stock!$B$2:$C$193,2,0)</f>
        <v>30</v>
      </c>
      <c r="D79" s="36" t="s">
        <v>49</v>
      </c>
      <c r="E79" s="37">
        <f>VLOOKUP(B79,RATES!$F$1:$G$152,2,0)</f>
        <v>790</v>
      </c>
      <c r="F79" s="37" t="s">
        <v>295</v>
      </c>
      <c r="G79" s="62"/>
      <c r="H79" s="43"/>
      <c r="I79" s="37" t="s">
        <v>316</v>
      </c>
      <c r="J79" s="42" t="s">
        <v>307</v>
      </c>
      <c r="K79" s="43" t="s">
        <v>95</v>
      </c>
      <c r="L79" s="44" t="s">
        <v>100</v>
      </c>
      <c r="M79" s="45" t="s">
        <v>10</v>
      </c>
      <c r="N79" s="45">
        <v>1.0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4">
        <v>76.0</v>
      </c>
      <c r="B80" s="29" t="str">
        <f t="shared" si="1"/>
        <v>215B-2x1</v>
      </c>
      <c r="C80" s="61">
        <f>VLOOKUP(B80,Stock!$B$2:$C$193,2,0)</f>
        <v>30</v>
      </c>
      <c r="D80" s="36" t="s">
        <v>49</v>
      </c>
      <c r="E80" s="37">
        <f>VLOOKUP(B80,RATES!$F$1:$G$152,2,0)</f>
        <v>495</v>
      </c>
      <c r="F80" s="37" t="s">
        <v>295</v>
      </c>
      <c r="G80" s="62"/>
      <c r="H80" s="43"/>
      <c r="I80" s="37" t="s">
        <v>86</v>
      </c>
      <c r="J80" s="42" t="s">
        <v>304</v>
      </c>
      <c r="K80" s="43" t="s">
        <v>95</v>
      </c>
      <c r="L80" s="44" t="s">
        <v>3</v>
      </c>
      <c r="M80" s="45" t="s">
        <v>10</v>
      </c>
      <c r="N80" s="45">
        <v>1.0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4">
        <v>55.0</v>
      </c>
      <c r="B81" s="29" t="str">
        <f t="shared" si="1"/>
        <v>2015-4x1</v>
      </c>
      <c r="C81" s="61">
        <f>VLOOKUP(B81,Stock!$B$2:$C$193,2,0)</f>
        <v>30</v>
      </c>
      <c r="D81" s="36" t="s">
        <v>49</v>
      </c>
      <c r="E81" s="37" t="str">
        <f>VLOOKUP(B81,RATES!$F$1:$G$152,2,0)</f>
        <v>#N/A</v>
      </c>
      <c r="F81" s="37" t="s">
        <v>295</v>
      </c>
      <c r="G81" s="62"/>
      <c r="H81" s="43"/>
      <c r="I81" s="37" t="s">
        <v>229</v>
      </c>
      <c r="J81" s="42" t="s">
        <v>456</v>
      </c>
      <c r="K81" s="43" t="s">
        <v>95</v>
      </c>
      <c r="L81" s="44" t="s">
        <v>93</v>
      </c>
      <c r="M81" s="45" t="s">
        <v>10</v>
      </c>
      <c r="N81" s="45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4">
        <v>107.0</v>
      </c>
      <c r="B82" s="29" t="str">
        <f t="shared" si="1"/>
        <v>335-6x1</v>
      </c>
      <c r="C82" s="61">
        <f>VLOOKUP(B82,Stock!$B$2:$C$193,2,0)</f>
        <v>30</v>
      </c>
      <c r="D82" s="36" t="s">
        <v>49</v>
      </c>
      <c r="E82" s="37">
        <f>VLOOKUP(B82,RATES!$F$1:$G$152,2,0)</f>
        <v>790</v>
      </c>
      <c r="F82" s="37" t="s">
        <v>295</v>
      </c>
      <c r="G82" s="62"/>
      <c r="H82" s="43"/>
      <c r="I82" s="37" t="s">
        <v>396</v>
      </c>
      <c r="J82" s="42" t="s">
        <v>310</v>
      </c>
      <c r="K82" s="43" t="s">
        <v>95</v>
      </c>
      <c r="L82" s="44" t="s">
        <v>100</v>
      </c>
      <c r="M82" s="45" t="s">
        <v>10</v>
      </c>
      <c r="N82" s="45">
        <v>1.0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4">
        <v>80.0</v>
      </c>
      <c r="B83" s="29" t="str">
        <f t="shared" si="1"/>
        <v>235A-2x1</v>
      </c>
      <c r="C83" s="61">
        <f>VLOOKUP(B83,Stock!$B$2:$C$193,2,0)</f>
        <v>30</v>
      </c>
      <c r="D83" s="36" t="s">
        <v>49</v>
      </c>
      <c r="E83" s="37">
        <f>VLOOKUP(B83,RATES!$F$1:$G$152,2,0)</f>
        <v>495</v>
      </c>
      <c r="F83" s="37" t="s">
        <v>295</v>
      </c>
      <c r="G83" s="62"/>
      <c r="H83" s="43"/>
      <c r="I83" s="37" t="s">
        <v>168</v>
      </c>
      <c r="J83" s="42" t="s">
        <v>467</v>
      </c>
      <c r="K83" s="43" t="s">
        <v>95</v>
      </c>
      <c r="L83" s="44" t="s">
        <v>3</v>
      </c>
      <c r="M83" s="45" t="s">
        <v>10</v>
      </c>
      <c r="N83" s="45">
        <v>1.0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4">
        <v>81.0</v>
      </c>
      <c r="B84" s="29" t="str">
        <f t="shared" si="1"/>
        <v>235A-3x1</v>
      </c>
      <c r="C84" s="61">
        <f>VLOOKUP(B84,Stock!$B$2:$C$193,2,0)</f>
        <v>30</v>
      </c>
      <c r="D84" s="36" t="s">
        <v>49</v>
      </c>
      <c r="E84" s="37" t="str">
        <f>VLOOKUP(B84,RATES!$F$1:$G$152,2,0)</f>
        <v>#N/A</v>
      </c>
      <c r="F84" s="37" t="s">
        <v>295</v>
      </c>
      <c r="G84" s="62"/>
      <c r="H84" s="43"/>
      <c r="I84" s="37" t="s">
        <v>306</v>
      </c>
      <c r="J84" s="42" t="s">
        <v>467</v>
      </c>
      <c r="K84" s="43" t="s">
        <v>95</v>
      </c>
      <c r="L84" s="44" t="s">
        <v>81</v>
      </c>
      <c r="M84" s="45" t="s">
        <v>10</v>
      </c>
      <c r="N84" s="45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4">
        <v>58.0</v>
      </c>
      <c r="B85" s="29" t="str">
        <f t="shared" si="1"/>
        <v>225A-4x1</v>
      </c>
      <c r="C85" s="61">
        <f>VLOOKUP(B85,Stock!$B$2:$C$193,2,0)</f>
        <v>30</v>
      </c>
      <c r="D85" s="36" t="s">
        <v>49</v>
      </c>
      <c r="E85" s="37" t="str">
        <f>VLOOKUP(B85,RATES!$F$1:$G$152,2,0)</f>
        <v>#N/A</v>
      </c>
      <c r="F85" s="37" t="s">
        <v>295</v>
      </c>
      <c r="G85" s="62"/>
      <c r="H85" s="43"/>
      <c r="I85" s="37" t="s">
        <v>229</v>
      </c>
      <c r="J85" s="42" t="s">
        <v>298</v>
      </c>
      <c r="K85" s="43" t="s">
        <v>95</v>
      </c>
      <c r="L85" s="44" t="s">
        <v>93</v>
      </c>
      <c r="M85" s="45" t="s">
        <v>10</v>
      </c>
      <c r="N85" s="45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4">
        <v>109.0</v>
      </c>
      <c r="B86" s="29" t="str">
        <f t="shared" si="1"/>
        <v>7005-6x1</v>
      </c>
      <c r="C86" s="61">
        <f>VLOOKUP(B86,Stock!$B$2:$C$193,2,0)</f>
        <v>50</v>
      </c>
      <c r="D86" s="36" t="s">
        <v>49</v>
      </c>
      <c r="E86" s="37">
        <f>VLOOKUP(B86,RATES!$F$1:$G$152,2,0)</f>
        <v>895</v>
      </c>
      <c r="F86" s="37" t="s">
        <v>295</v>
      </c>
      <c r="G86" s="62"/>
      <c r="H86" s="43"/>
      <c r="I86" s="37" t="s">
        <v>168</v>
      </c>
      <c r="J86" s="42" t="s">
        <v>472</v>
      </c>
      <c r="K86" s="43" t="s">
        <v>95</v>
      </c>
      <c r="L86" s="44" t="s">
        <v>100</v>
      </c>
      <c r="M86" s="45" t="s">
        <v>10</v>
      </c>
      <c r="N86" s="45">
        <v>1.0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4">
        <v>84.0</v>
      </c>
      <c r="B87" s="29" t="str">
        <f t="shared" si="1"/>
        <v>025-2x1</v>
      </c>
      <c r="C87" s="61">
        <f>VLOOKUP(B87,Stock!$B$2:$C$193,2,0)</f>
        <v>30</v>
      </c>
      <c r="D87" s="36" t="s">
        <v>49</v>
      </c>
      <c r="E87" s="37">
        <f>VLOOKUP(B87,RATES!$F$1:$G$152,2,0)</f>
        <v>495</v>
      </c>
      <c r="F87" s="37" t="s">
        <v>295</v>
      </c>
      <c r="G87" s="62"/>
      <c r="H87" s="43"/>
      <c r="I87" s="37" t="s">
        <v>229</v>
      </c>
      <c r="J87" s="42" t="s">
        <v>515</v>
      </c>
      <c r="K87" s="43" t="s">
        <v>95</v>
      </c>
      <c r="L87" s="44" t="s">
        <v>3</v>
      </c>
      <c r="M87" s="45" t="s">
        <v>10</v>
      </c>
      <c r="N87" s="45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4">
        <v>85.0</v>
      </c>
      <c r="B88" s="29" t="str">
        <f t="shared" si="1"/>
        <v>025-3x1</v>
      </c>
      <c r="C88" s="61">
        <f>VLOOKUP(B88,Stock!$B$2:$C$193,2,0)</f>
        <v>30</v>
      </c>
      <c r="D88" s="36" t="s">
        <v>49</v>
      </c>
      <c r="E88" s="37" t="str">
        <f>VLOOKUP(B88,RATES!$F$1:$G$152,2,0)</f>
        <v>#N/A</v>
      </c>
      <c r="F88" s="37" t="s">
        <v>295</v>
      </c>
      <c r="G88" s="62"/>
      <c r="H88" s="43"/>
      <c r="I88" s="37" t="s">
        <v>285</v>
      </c>
      <c r="J88" s="42" t="s">
        <v>515</v>
      </c>
      <c r="K88" s="43" t="s">
        <v>95</v>
      </c>
      <c r="L88" s="44" t="s">
        <v>81</v>
      </c>
      <c r="M88" s="45" t="s">
        <v>10</v>
      </c>
      <c r="N88" s="45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4">
        <v>66.0</v>
      </c>
      <c r="B89" s="29" t="str">
        <f t="shared" si="1"/>
        <v>275B-4x1</v>
      </c>
      <c r="C89" s="61">
        <f>VLOOKUP(B89,Stock!$B$2:$C$193,2,0)</f>
        <v>30</v>
      </c>
      <c r="D89" s="36" t="s">
        <v>49</v>
      </c>
      <c r="E89" s="37" t="str">
        <f>VLOOKUP(B89,RATES!$F$1:$G$152,2,0)</f>
        <v>#N/A</v>
      </c>
      <c r="F89" s="37" t="s">
        <v>295</v>
      </c>
      <c r="G89" s="62"/>
      <c r="H89" s="43"/>
      <c r="I89" s="37" t="s">
        <v>299</v>
      </c>
      <c r="J89" s="42" t="s">
        <v>301</v>
      </c>
      <c r="K89" s="43" t="s">
        <v>95</v>
      </c>
      <c r="L89" s="44" t="s">
        <v>93</v>
      </c>
      <c r="M89" s="45" t="s">
        <v>10</v>
      </c>
      <c r="N89" s="45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4">
        <v>140.0</v>
      </c>
      <c r="B90" s="29" t="str">
        <f t="shared" si="1"/>
        <v>224B-6x1</v>
      </c>
      <c r="C90" s="61">
        <f>VLOOKUP(B90,Stock!$B$2:$C$193,2,0)</f>
        <v>12</v>
      </c>
      <c r="D90" s="36" t="s">
        <v>49</v>
      </c>
      <c r="E90" s="37">
        <f>VLOOKUP(B90,RATES!$F$1:$G$152,2,0)</f>
        <v>820</v>
      </c>
      <c r="F90" s="37" t="s">
        <v>295</v>
      </c>
      <c r="G90" s="62" t="str">
        <f>vlookup(B90,'2024'!$A$1:$F$134,6,0)</f>
        <v>224B 6 X 1.jpg</v>
      </c>
      <c r="H90" s="43"/>
      <c r="I90" s="36" t="str">
        <f>vlookup(B90,'2024'!$A$1:$G$134,7,0)</f>
        <v>1200 G</v>
      </c>
      <c r="J90" s="42" t="s">
        <v>420</v>
      </c>
      <c r="K90" s="41" t="s">
        <v>95</v>
      </c>
      <c r="L90" s="44" t="s">
        <v>100</v>
      </c>
      <c r="M90" s="45"/>
      <c r="N90" s="45">
        <v>1.0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4">
        <v>88.0</v>
      </c>
      <c r="B91" s="29" t="str">
        <f t="shared" si="1"/>
        <v>ST-75-2x1</v>
      </c>
      <c r="C91" s="61">
        <f>VLOOKUP(B91,Stock!$B$2:$C$193,2,0)</f>
        <v>30</v>
      </c>
      <c r="D91" s="36" t="s">
        <v>49</v>
      </c>
      <c r="E91" s="37" t="str">
        <f>VLOOKUP(B91,RATES!$F$1:$G$152,2,0)</f>
        <v>#N/A</v>
      </c>
      <c r="F91" s="37" t="s">
        <v>295</v>
      </c>
      <c r="G91" s="62"/>
      <c r="H91" s="43"/>
      <c r="I91" s="37" t="s">
        <v>229</v>
      </c>
      <c r="J91" s="42" t="s">
        <v>730</v>
      </c>
      <c r="K91" s="43" t="s">
        <v>95</v>
      </c>
      <c r="L91" s="44" t="s">
        <v>3</v>
      </c>
      <c r="M91" s="45" t="s">
        <v>10</v>
      </c>
      <c r="N91" s="45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4">
        <v>89.0</v>
      </c>
      <c r="B92" s="29" t="str">
        <f t="shared" si="1"/>
        <v>ST-75-3x1</v>
      </c>
      <c r="C92" s="61">
        <f>VLOOKUP(B92,Stock!$B$2:$C$193,2,0)</f>
        <v>30</v>
      </c>
      <c r="D92" s="36" t="s">
        <v>49</v>
      </c>
      <c r="E92" s="37" t="str">
        <f>VLOOKUP(B92,RATES!$F$1:$G$152,2,0)</f>
        <v>#N/A</v>
      </c>
      <c r="F92" s="37" t="s">
        <v>295</v>
      </c>
      <c r="G92" s="62"/>
      <c r="H92" s="43"/>
      <c r="I92" s="37" t="s">
        <v>285</v>
      </c>
      <c r="J92" s="42" t="s">
        <v>730</v>
      </c>
      <c r="K92" s="43" t="s">
        <v>95</v>
      </c>
      <c r="L92" s="44" t="s">
        <v>81</v>
      </c>
      <c r="M92" s="45" t="s">
        <v>10</v>
      </c>
      <c r="N92" s="45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4">
        <v>70.0</v>
      </c>
      <c r="B93" s="29" t="str">
        <f t="shared" si="1"/>
        <v>245B-4x1</v>
      </c>
      <c r="C93" s="61">
        <f>VLOOKUP(B93,Stock!$B$2:$C$193,2,0)</f>
        <v>30</v>
      </c>
      <c r="D93" s="36" t="s">
        <v>49</v>
      </c>
      <c r="E93" s="37" t="str">
        <f>VLOOKUP(B93,RATES!$F$1:$G$152,2,0)</f>
        <v>#N/A</v>
      </c>
      <c r="F93" s="37" t="s">
        <v>295</v>
      </c>
      <c r="G93" s="62"/>
      <c r="H93" s="43"/>
      <c r="I93" s="37" t="s">
        <v>285</v>
      </c>
      <c r="J93" s="42" t="s">
        <v>463</v>
      </c>
      <c r="K93" s="43" t="s">
        <v>95</v>
      </c>
      <c r="L93" s="44" t="s">
        <v>93</v>
      </c>
      <c r="M93" s="45" t="s">
        <v>10</v>
      </c>
      <c r="N93" s="45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4">
        <v>91.0</v>
      </c>
      <c r="B94" s="29" t="str">
        <f t="shared" si="1"/>
        <v>024-2x1</v>
      </c>
      <c r="C94" s="61">
        <f>VLOOKUP(B94,Stock!$B$2:$C$193,2,0)</f>
        <v>30</v>
      </c>
      <c r="D94" s="36" t="s">
        <v>49</v>
      </c>
      <c r="E94" s="37">
        <f>VLOOKUP(B94,RATES!$F$1:$G$152,2,0)</f>
        <v>495</v>
      </c>
      <c r="F94" s="37" t="s">
        <v>295</v>
      </c>
      <c r="G94" s="62"/>
      <c r="H94" s="43"/>
      <c r="I94" s="37" t="s">
        <v>229</v>
      </c>
      <c r="J94" s="42" t="s">
        <v>511</v>
      </c>
      <c r="K94" s="43" t="s">
        <v>95</v>
      </c>
      <c r="L94" s="44" t="s">
        <v>3</v>
      </c>
      <c r="M94" s="45" t="s">
        <v>10</v>
      </c>
      <c r="N94" s="45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4">
        <v>92.0</v>
      </c>
      <c r="B95" s="29" t="str">
        <f t="shared" si="1"/>
        <v>024-3x1</v>
      </c>
      <c r="C95" s="61">
        <f>VLOOKUP(B95,Stock!$B$2:$C$193,2,0)</f>
        <v>30</v>
      </c>
      <c r="D95" s="36" t="s">
        <v>49</v>
      </c>
      <c r="E95" s="37" t="str">
        <f>VLOOKUP(B95,RATES!$F$1:$G$152,2,0)</f>
        <v>#N/A</v>
      </c>
      <c r="F95" s="37" t="s">
        <v>295</v>
      </c>
      <c r="G95" s="62"/>
      <c r="H95" s="43"/>
      <c r="I95" s="37" t="s">
        <v>285</v>
      </c>
      <c r="J95" s="42" t="s">
        <v>511</v>
      </c>
      <c r="K95" s="43" t="s">
        <v>95</v>
      </c>
      <c r="L95" s="44" t="s">
        <v>81</v>
      </c>
      <c r="M95" s="45" t="s">
        <v>10</v>
      </c>
      <c r="N95" s="45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4">
        <v>74.0</v>
      </c>
      <c r="B96" s="29" t="str">
        <f t="shared" si="1"/>
        <v>265B-4x1</v>
      </c>
      <c r="C96" s="61">
        <f>VLOOKUP(B96,Stock!$B$2:$C$193,2,0)</f>
        <v>30</v>
      </c>
      <c r="D96" s="36" t="s">
        <v>49</v>
      </c>
      <c r="E96" s="37" t="str">
        <f>VLOOKUP(B96,RATES!$F$1:$G$152,2,0)</f>
        <v>#N/A</v>
      </c>
      <c r="F96" s="37" t="s">
        <v>295</v>
      </c>
      <c r="G96" s="62"/>
      <c r="H96" s="43"/>
      <c r="I96" s="37" t="s">
        <v>299</v>
      </c>
      <c r="J96" s="42" t="s">
        <v>464</v>
      </c>
      <c r="K96" s="43" t="s">
        <v>95</v>
      </c>
      <c r="L96" s="44" t="s">
        <v>93</v>
      </c>
      <c r="M96" s="45" t="s">
        <v>10</v>
      </c>
      <c r="N96" s="45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4">
        <v>141.0</v>
      </c>
      <c r="B97" s="29" t="str">
        <f t="shared" si="1"/>
        <v>264A-6x1</v>
      </c>
      <c r="C97" s="61">
        <f>VLOOKUP(B97,Stock!$B$2:$C$193,2,0)</f>
        <v>6</v>
      </c>
      <c r="D97" s="36" t="s">
        <v>49</v>
      </c>
      <c r="E97" s="37">
        <f>VLOOKUP(B97,RATES!$F$1:$G$152,2,0)</f>
        <v>820</v>
      </c>
      <c r="F97" s="37" t="s">
        <v>295</v>
      </c>
      <c r="G97" s="62" t="str">
        <f>vlookup(B97,'2024'!$A$1:$F$134,6,0)</f>
        <v>264A 6 X 1.png</v>
      </c>
      <c r="H97" s="43"/>
      <c r="I97" s="36" t="str">
        <f>vlookup(B97,'2024'!$A$1:$G$134,7,0)</f>
        <v>600 G</v>
      </c>
      <c r="J97" s="42" t="s">
        <v>423</v>
      </c>
      <c r="K97" s="41" t="s">
        <v>95</v>
      </c>
      <c r="L97" s="44" t="s">
        <v>100</v>
      </c>
      <c r="M97" s="45"/>
      <c r="N97" s="45">
        <v>1.0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4">
        <v>95.0</v>
      </c>
      <c r="B98" s="29" t="str">
        <f t="shared" si="1"/>
        <v>1225-4+2</v>
      </c>
      <c r="C98" s="61">
        <f>VLOOKUP(B98,Stock!$B$2:$C$193,2,0)</f>
        <v>60</v>
      </c>
      <c r="D98" s="36" t="s">
        <v>49</v>
      </c>
      <c r="E98" s="37">
        <f>VLOOKUP(B98,RATES!$F$1:$G$152,2,0)</f>
        <v>820</v>
      </c>
      <c r="F98" s="37" t="s">
        <v>295</v>
      </c>
      <c r="G98" s="62"/>
      <c r="H98" s="43"/>
      <c r="I98" s="37" t="s">
        <v>285</v>
      </c>
      <c r="J98" s="42" t="s">
        <v>526</v>
      </c>
      <c r="K98" s="43" t="s">
        <v>95</v>
      </c>
      <c r="L98" s="44" t="s">
        <v>90</v>
      </c>
      <c r="M98" s="45" t="s">
        <v>10</v>
      </c>
      <c r="N98" s="45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4">
        <v>96.0</v>
      </c>
      <c r="B99" s="29" t="str">
        <f t="shared" si="1"/>
        <v>1205-4+2</v>
      </c>
      <c r="C99" s="61">
        <f>VLOOKUP(B99,Stock!$B$2:$C$193,2,0)</f>
        <v>60</v>
      </c>
      <c r="D99" s="36" t="s">
        <v>49</v>
      </c>
      <c r="E99" s="37">
        <f>VLOOKUP(B99,RATES!$F$1:$G$152,2,0)</f>
        <v>820</v>
      </c>
      <c r="F99" s="37" t="s">
        <v>295</v>
      </c>
      <c r="G99" s="62"/>
      <c r="H99" s="43"/>
      <c r="I99" s="37" t="s">
        <v>285</v>
      </c>
      <c r="J99" s="42" t="s">
        <v>527</v>
      </c>
      <c r="K99" s="43" t="s">
        <v>95</v>
      </c>
      <c r="L99" s="44" t="s">
        <v>90</v>
      </c>
      <c r="M99" s="45" t="s">
        <v>10</v>
      </c>
      <c r="N99" s="45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4">
        <v>97.0</v>
      </c>
      <c r="B100" s="29" t="str">
        <f t="shared" si="1"/>
        <v>1215-4+2</v>
      </c>
      <c r="C100" s="61">
        <f>VLOOKUP(B100,Stock!$B$2:$C$193,2,0)</f>
        <v>60</v>
      </c>
      <c r="D100" s="36" t="s">
        <v>49</v>
      </c>
      <c r="E100" s="37">
        <f>VLOOKUP(B100,RATES!$F$1:$G$152,2,0)</f>
        <v>820</v>
      </c>
      <c r="F100" s="37" t="s">
        <v>295</v>
      </c>
      <c r="G100" s="62"/>
      <c r="H100" s="43"/>
      <c r="I100" s="37" t="s">
        <v>285</v>
      </c>
      <c r="J100" s="42" t="s">
        <v>530</v>
      </c>
      <c r="K100" s="43" t="s">
        <v>95</v>
      </c>
      <c r="L100" s="44" t="s">
        <v>90</v>
      </c>
      <c r="M100" s="45" t="s">
        <v>10</v>
      </c>
      <c r="N100" s="45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4">
        <v>86.0</v>
      </c>
      <c r="B101" s="29" t="str">
        <f t="shared" si="1"/>
        <v>025-4x1</v>
      </c>
      <c r="C101" s="61">
        <f>VLOOKUP(B101,Stock!$B$2:$C$193,2,0)</f>
        <v>30</v>
      </c>
      <c r="D101" s="36" t="s">
        <v>49</v>
      </c>
      <c r="E101" s="37" t="str">
        <f>VLOOKUP(B101,RATES!$F$1:$G$152,2,0)</f>
        <v>#N/A</v>
      </c>
      <c r="F101" s="37" t="s">
        <v>295</v>
      </c>
      <c r="G101" s="62"/>
      <c r="H101" s="43"/>
      <c r="I101" s="37" t="s">
        <v>299</v>
      </c>
      <c r="J101" s="42" t="s">
        <v>515</v>
      </c>
      <c r="K101" s="43" t="s">
        <v>95</v>
      </c>
      <c r="L101" s="44" t="s">
        <v>93</v>
      </c>
      <c r="M101" s="45" t="s">
        <v>10</v>
      </c>
      <c r="N101" s="45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4">
        <v>153.0</v>
      </c>
      <c r="B102" s="29" t="str">
        <f t="shared" si="1"/>
        <v>224A-6x1</v>
      </c>
      <c r="C102" s="61">
        <f>VLOOKUP(B102,Stock!$B$2:$C$193,2,0)</f>
        <v>6</v>
      </c>
      <c r="D102" s="36" t="s">
        <v>49</v>
      </c>
      <c r="E102" s="37">
        <f>VLOOKUP(B102,RATES!$F$1:$G$152,2,0)</f>
        <v>820</v>
      </c>
      <c r="F102" s="37" t="s">
        <v>295</v>
      </c>
      <c r="G102" s="62" t="str">
        <f>vlookup(B102,'2024'!$A$1:$F$134,6,0)</f>
        <v>224A 6 X 1.jpg</v>
      </c>
      <c r="H102" s="43"/>
      <c r="I102" s="36" t="str">
        <f>vlookup(B102,'2024'!$A$1:$G$134,7,0)</f>
        <v>1200 G</v>
      </c>
      <c r="J102" s="42" t="s">
        <v>414</v>
      </c>
      <c r="K102" s="41" t="s">
        <v>95</v>
      </c>
      <c r="L102" s="44" t="s">
        <v>100</v>
      </c>
      <c r="M102" s="45"/>
      <c r="N102" s="45">
        <v>1.0</v>
      </c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4">
        <v>90.0</v>
      </c>
      <c r="B103" s="29" t="str">
        <f t="shared" si="1"/>
        <v>ST-75-4x1</v>
      </c>
      <c r="C103" s="61">
        <f>VLOOKUP(B103,Stock!$B$2:$C$193,2,0)</f>
        <v>30</v>
      </c>
      <c r="D103" s="36" t="s">
        <v>49</v>
      </c>
      <c r="E103" s="37" t="str">
        <f>VLOOKUP(B103,RATES!$F$1:$G$152,2,0)</f>
        <v>#N/A</v>
      </c>
      <c r="F103" s="37" t="s">
        <v>295</v>
      </c>
      <c r="G103" s="62"/>
      <c r="H103" s="43"/>
      <c r="I103" s="37" t="s">
        <v>299</v>
      </c>
      <c r="J103" s="42" t="s">
        <v>730</v>
      </c>
      <c r="K103" s="43" t="s">
        <v>95</v>
      </c>
      <c r="L103" s="44" t="s">
        <v>93</v>
      </c>
      <c r="M103" s="45" t="s">
        <v>10</v>
      </c>
      <c r="N103" s="45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4">
        <v>59.0</v>
      </c>
      <c r="B104" s="29" t="str">
        <f t="shared" si="1"/>
        <v>225A-6x1</v>
      </c>
      <c r="C104" s="61">
        <f>VLOOKUP(B104,Stock!$B$2:$C$193,2,0)</f>
        <v>30</v>
      </c>
      <c r="D104" s="36" t="s">
        <v>49</v>
      </c>
      <c r="E104" s="37" t="str">
        <f>VLOOKUP(B104,RATES!$F$1:$G$152,2,0)</f>
        <v>#N/A</v>
      </c>
      <c r="F104" s="37" t="s">
        <v>295</v>
      </c>
      <c r="G104" s="62"/>
      <c r="H104" s="43"/>
      <c r="I104" s="37" t="s">
        <v>285</v>
      </c>
      <c r="J104" s="42" t="s">
        <v>298</v>
      </c>
      <c r="K104" s="43" t="s">
        <v>95</v>
      </c>
      <c r="L104" s="44" t="s">
        <v>100</v>
      </c>
      <c r="M104" s="45" t="s">
        <v>10</v>
      </c>
      <c r="N104" s="45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4">
        <v>93.0</v>
      </c>
      <c r="B105" s="29" t="str">
        <f t="shared" si="1"/>
        <v>024-4x1</v>
      </c>
      <c r="C105" s="61">
        <f>VLOOKUP(B105,Stock!$B$2:$C$193,2,0)</f>
        <v>30</v>
      </c>
      <c r="D105" s="36" t="s">
        <v>49</v>
      </c>
      <c r="E105" s="37" t="str">
        <f>VLOOKUP(B105,RATES!$F$1:$G$152,2,0)</f>
        <v>#N/A</v>
      </c>
      <c r="F105" s="37" t="s">
        <v>295</v>
      </c>
      <c r="G105" s="62"/>
      <c r="H105" s="43"/>
      <c r="I105" s="37" t="s">
        <v>299</v>
      </c>
      <c r="J105" s="42" t="s">
        <v>511</v>
      </c>
      <c r="K105" s="43" t="s">
        <v>95</v>
      </c>
      <c r="L105" s="44" t="s">
        <v>93</v>
      </c>
      <c r="M105" s="45" t="s">
        <v>10</v>
      </c>
      <c r="N105" s="45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4">
        <v>67.0</v>
      </c>
      <c r="B106" s="29" t="str">
        <f t="shared" si="1"/>
        <v>275B-6x1</v>
      </c>
      <c r="C106" s="61">
        <f>VLOOKUP(B106,Stock!$B$2:$C$193,2,0)</f>
        <v>30</v>
      </c>
      <c r="D106" s="36" t="s">
        <v>49</v>
      </c>
      <c r="E106" s="37" t="str">
        <f>VLOOKUP(B106,RATES!$F$1:$G$152,2,0)</f>
        <v>#N/A</v>
      </c>
      <c r="F106" s="37" t="s">
        <v>295</v>
      </c>
      <c r="G106" s="62"/>
      <c r="H106" s="43"/>
      <c r="I106" s="37" t="s">
        <v>396</v>
      </c>
      <c r="J106" s="42" t="s">
        <v>301</v>
      </c>
      <c r="K106" s="43" t="s">
        <v>95</v>
      </c>
      <c r="L106" s="44" t="s">
        <v>100</v>
      </c>
      <c r="M106" s="45" t="s">
        <v>10</v>
      </c>
      <c r="N106" s="45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4">
        <v>98.0</v>
      </c>
      <c r="B107" s="29" t="str">
        <f t="shared" si="1"/>
        <v>205B-4x1</v>
      </c>
      <c r="C107" s="61">
        <f>VLOOKUP(B107,Stock!$B$2:$C$193,2,0)</f>
        <v>60</v>
      </c>
      <c r="D107" s="36" t="s">
        <v>49</v>
      </c>
      <c r="E107" s="37" t="str">
        <f>VLOOKUP(B107,RATES!$F$1:$G$152,2,0)</f>
        <v>#N/A</v>
      </c>
      <c r="F107" s="37" t="s">
        <v>295</v>
      </c>
      <c r="G107" s="62"/>
      <c r="H107" s="43"/>
      <c r="I107" s="37" t="s">
        <v>229</v>
      </c>
      <c r="J107" s="42" t="s">
        <v>485</v>
      </c>
      <c r="K107" s="43" t="s">
        <v>95</v>
      </c>
      <c r="L107" s="44" t="s">
        <v>93</v>
      </c>
      <c r="M107" s="45" t="s">
        <v>10</v>
      </c>
      <c r="N107" s="45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4">
        <v>71.0</v>
      </c>
      <c r="B108" s="29" t="str">
        <f t="shared" si="1"/>
        <v>245B-6x1</v>
      </c>
      <c r="C108" s="61">
        <f>VLOOKUP(B108,Stock!$B$2:$C$193,2,0)</f>
        <v>30</v>
      </c>
      <c r="D108" s="36" t="s">
        <v>49</v>
      </c>
      <c r="E108" s="37" t="str">
        <f>VLOOKUP(B108,RATES!$F$1:$G$152,2,0)</f>
        <v>#N/A</v>
      </c>
      <c r="F108" s="37" t="s">
        <v>295</v>
      </c>
      <c r="G108" s="62"/>
      <c r="H108" s="43"/>
      <c r="I108" s="37" t="s">
        <v>316</v>
      </c>
      <c r="J108" s="42" t="s">
        <v>463</v>
      </c>
      <c r="K108" s="43" t="s">
        <v>95</v>
      </c>
      <c r="L108" s="44" t="s">
        <v>100</v>
      </c>
      <c r="M108" s="45" t="s">
        <v>10</v>
      </c>
      <c r="N108" s="45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4">
        <v>100.0</v>
      </c>
      <c r="B109" s="29" t="str">
        <f t="shared" si="1"/>
        <v>374-4x1</v>
      </c>
      <c r="C109" s="61">
        <f>VLOOKUP(B109,Stock!$B$2:$C$193,2,0)</f>
        <v>30</v>
      </c>
      <c r="D109" s="36" t="s">
        <v>49</v>
      </c>
      <c r="E109" s="37" t="str">
        <f>VLOOKUP(B109,RATES!$F$1:$G$152,2,0)</f>
        <v>#N/A</v>
      </c>
      <c r="F109" s="37" t="s">
        <v>295</v>
      </c>
      <c r="G109" s="62"/>
      <c r="H109" s="43"/>
      <c r="I109" s="37" t="s">
        <v>285</v>
      </c>
      <c r="J109" s="42" t="s">
        <v>745</v>
      </c>
      <c r="K109" s="43" t="s">
        <v>95</v>
      </c>
      <c r="L109" s="44" t="s">
        <v>93</v>
      </c>
      <c r="M109" s="45" t="s">
        <v>10</v>
      </c>
      <c r="N109" s="45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4">
        <v>75.0</v>
      </c>
      <c r="B110" s="29" t="str">
        <f t="shared" si="1"/>
        <v>265B-6x1</v>
      </c>
      <c r="C110" s="61">
        <f>VLOOKUP(B110,Stock!$B$2:$C$193,2,0)</f>
        <v>30</v>
      </c>
      <c r="D110" s="36" t="s">
        <v>49</v>
      </c>
      <c r="E110" s="37" t="str">
        <f>VLOOKUP(B110,RATES!$F$1:$G$152,2,0)</f>
        <v>#N/A</v>
      </c>
      <c r="F110" s="37" t="s">
        <v>295</v>
      </c>
      <c r="G110" s="62"/>
      <c r="H110" s="43"/>
      <c r="I110" s="37" t="s">
        <v>396</v>
      </c>
      <c r="J110" s="42" t="s">
        <v>464</v>
      </c>
      <c r="K110" s="43" t="s">
        <v>95</v>
      </c>
      <c r="L110" s="44" t="s">
        <v>100</v>
      </c>
      <c r="M110" s="45" t="s">
        <v>10</v>
      </c>
      <c r="N110" s="45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4">
        <v>103.0</v>
      </c>
      <c r="B111" s="29" t="str">
        <f t="shared" si="1"/>
        <v>325-4x1</v>
      </c>
      <c r="C111" s="61">
        <f>VLOOKUP(B111,Stock!$B$2:$C$193,2,0)</f>
        <v>30</v>
      </c>
      <c r="D111" s="36" t="s">
        <v>49</v>
      </c>
      <c r="E111" s="37" t="str">
        <f>VLOOKUP(B111,RATES!$F$1:$G$152,2,0)</f>
        <v>#N/A</v>
      </c>
      <c r="F111" s="37" t="s">
        <v>295</v>
      </c>
      <c r="G111" s="62"/>
      <c r="H111" s="43"/>
      <c r="I111" s="37" t="s">
        <v>285</v>
      </c>
      <c r="J111" s="42" t="s">
        <v>307</v>
      </c>
      <c r="K111" s="43" t="s">
        <v>95</v>
      </c>
      <c r="L111" s="44" t="s">
        <v>93</v>
      </c>
      <c r="M111" s="45" t="s">
        <v>10</v>
      </c>
      <c r="N111" s="45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4">
        <v>111.0</v>
      </c>
      <c r="B112" s="29" t="str">
        <f t="shared" si="1"/>
        <v>7037-Triangle Bag</v>
      </c>
      <c r="C112" s="61">
        <f>VLOOKUP(B112,Stock!$B$2:$C$193,2,0)</f>
        <v>50</v>
      </c>
      <c r="D112" s="36" t="s">
        <v>49</v>
      </c>
      <c r="E112" s="37" t="str">
        <f>VLOOKUP(B112,RATES!$F$1:$G$152,2,0)</f>
        <v>#N/A</v>
      </c>
      <c r="F112" s="37" t="s">
        <v>295</v>
      </c>
      <c r="G112" s="62"/>
      <c r="H112" s="43"/>
      <c r="I112" s="37" t="s">
        <v>285</v>
      </c>
      <c r="J112" s="42" t="s">
        <v>748</v>
      </c>
      <c r="K112" s="43" t="s">
        <v>95</v>
      </c>
      <c r="L112" s="44" t="s">
        <v>749</v>
      </c>
      <c r="M112" s="45" t="s">
        <v>10</v>
      </c>
      <c r="N112" s="45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4">
        <v>112.0</v>
      </c>
      <c r="B113" s="29" t="str">
        <f t="shared" si="1"/>
        <v>Radhe-Radhe</v>
      </c>
      <c r="C113" s="61">
        <f>VLOOKUP(B113,Stock!$B$2:$C$193,2,0)</f>
        <v>10</v>
      </c>
      <c r="D113" s="36" t="s">
        <v>49</v>
      </c>
      <c r="E113" s="37" t="str">
        <f>VLOOKUP(B113,RATES!$F$1:$G$152,2,0)</f>
        <v>#N/A</v>
      </c>
      <c r="F113" s="37" t="s">
        <v>295</v>
      </c>
      <c r="G113" s="62"/>
      <c r="H113" s="43"/>
      <c r="I113" s="37" t="s">
        <v>299</v>
      </c>
      <c r="J113" s="42" t="s">
        <v>752</v>
      </c>
      <c r="K113" s="43" t="s">
        <v>95</v>
      </c>
      <c r="L113" s="44" t="s">
        <v>752</v>
      </c>
      <c r="M113" s="45" t="s">
        <v>10</v>
      </c>
      <c r="N113" s="45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4">
        <v>113.0</v>
      </c>
      <c r="B114" s="29" t="str">
        <f t="shared" si="1"/>
        <v>7045-10x15</v>
      </c>
      <c r="C114" s="61">
        <f>VLOOKUP(B114,Stock!$B$2:$C$193,2,0)</f>
        <v>30</v>
      </c>
      <c r="D114" s="36" t="s">
        <v>49</v>
      </c>
      <c r="E114" s="37" t="str">
        <f>VLOOKUP(B114,RATES!$F$1:$G$152,2,0)</f>
        <v>#N/A</v>
      </c>
      <c r="F114" s="37" t="s">
        <v>295</v>
      </c>
      <c r="G114" s="62"/>
      <c r="H114" s="43"/>
      <c r="I114" s="37" t="s">
        <v>524</v>
      </c>
      <c r="J114" s="42" t="s">
        <v>755</v>
      </c>
      <c r="K114" s="43" t="s">
        <v>95</v>
      </c>
      <c r="L114" s="44" t="s">
        <v>45</v>
      </c>
      <c r="M114" s="45" t="s">
        <v>10</v>
      </c>
      <c r="N114" s="45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4">
        <v>114.0</v>
      </c>
      <c r="B115" s="29" t="str">
        <f t="shared" si="1"/>
        <v>1373A-Big</v>
      </c>
      <c r="C115" s="61">
        <f>VLOOKUP(B115,Stock!$B$2:$C$193,2,0)</f>
        <v>0</v>
      </c>
      <c r="D115" s="36" t="s">
        <v>49</v>
      </c>
      <c r="E115" s="37">
        <f>VLOOKUP(B115,RATES!$F$1:$G$152,2,0)</f>
        <v>1150</v>
      </c>
      <c r="F115" s="37" t="s">
        <v>295</v>
      </c>
      <c r="G115" s="62"/>
      <c r="H115" s="43"/>
      <c r="I115" s="37" t="s">
        <v>524</v>
      </c>
      <c r="J115" s="42" t="s">
        <v>525</v>
      </c>
      <c r="K115" s="43" t="s">
        <v>95</v>
      </c>
      <c r="L115" s="44" t="s">
        <v>104</v>
      </c>
      <c r="M115" s="45" t="s">
        <v>10</v>
      </c>
      <c r="N115" s="45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4">
        <v>115.0</v>
      </c>
      <c r="B116" s="29" t="str">
        <f t="shared" si="1"/>
        <v>604A-Small</v>
      </c>
      <c r="C116" s="61">
        <f>VLOOKUP(B116,Stock!$B$2:$C$193,2,0)</f>
        <v>0</v>
      </c>
      <c r="D116" s="36" t="s">
        <v>49</v>
      </c>
      <c r="E116" s="37" t="str">
        <f>VLOOKUP(B116,RATES!$F$1:$G$152,2,0)</f>
        <v>#N/A</v>
      </c>
      <c r="F116" s="37" t="s">
        <v>295</v>
      </c>
      <c r="G116" s="62"/>
      <c r="H116" s="43"/>
      <c r="I116" s="37" t="s">
        <v>524</v>
      </c>
      <c r="J116" s="42" t="s">
        <v>757</v>
      </c>
      <c r="K116" s="43" t="s">
        <v>95</v>
      </c>
      <c r="L116" s="44" t="s">
        <v>758</v>
      </c>
      <c r="M116" s="45" t="s">
        <v>10</v>
      </c>
      <c r="N116" s="45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4">
        <v>116.0</v>
      </c>
      <c r="B117" s="29" t="str">
        <f t="shared" si="1"/>
        <v>-</v>
      </c>
      <c r="C117" s="61" t="str">
        <f>VLOOKUP(B117,Stock!$B$2:$C$193,2,0)</f>
        <v>#N/A</v>
      </c>
      <c r="D117" s="36" t="s">
        <v>49</v>
      </c>
      <c r="E117" s="37" t="str">
        <f>VLOOKUP(B117,RATES!$F$1:$G$152,2,0)</f>
        <v>#N/A</v>
      </c>
      <c r="F117" s="37" t="s">
        <v>295</v>
      </c>
      <c r="G117" s="62"/>
      <c r="H117" s="43"/>
      <c r="I117" s="36"/>
      <c r="J117" s="42"/>
      <c r="K117" s="43" t="s">
        <v>95</v>
      </c>
      <c r="L117" s="44"/>
      <c r="M117" s="45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4">
        <v>117.0</v>
      </c>
      <c r="B118" s="29" t="str">
        <f t="shared" si="1"/>
        <v>-</v>
      </c>
      <c r="C118" s="61" t="str">
        <f>VLOOKUP(B118,Stock!$B$2:$C$193,2,0)</f>
        <v>#N/A</v>
      </c>
      <c r="D118" s="36" t="s">
        <v>49</v>
      </c>
      <c r="E118" s="37" t="str">
        <f>VLOOKUP(B118,RATES!$F$1:$G$152,2,0)</f>
        <v>#N/A</v>
      </c>
      <c r="F118" s="37"/>
      <c r="G118" s="62"/>
      <c r="H118" s="43"/>
      <c r="I118" s="36"/>
      <c r="J118" s="42"/>
      <c r="K118" s="43" t="s">
        <v>95</v>
      </c>
      <c r="L118" s="44"/>
      <c r="M118" s="45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4">
        <v>118.0</v>
      </c>
      <c r="B119" s="29" t="str">
        <f t="shared" si="1"/>
        <v>034B-7x10</v>
      </c>
      <c r="C119" s="61">
        <f>VLOOKUP(B119,Stock!$B$2:$C$193,2,0)</f>
        <v>90</v>
      </c>
      <c r="D119" s="36" t="s">
        <v>49</v>
      </c>
      <c r="E119" s="37" t="str">
        <f>VLOOKUP(B119,RATES!$F$1:$G$152,2,0)</f>
        <v>#N/A</v>
      </c>
      <c r="F119" s="37" t="s">
        <v>51</v>
      </c>
      <c r="G119" s="62" t="str">
        <f>vlookup(B119,'2024'!$A$1:$F$134,6,0)</f>
        <v>034.B 7X10.png</v>
      </c>
      <c r="H119" s="43"/>
      <c r="I119" s="37" t="s">
        <v>86</v>
      </c>
      <c r="J119" s="42" t="s">
        <v>765</v>
      </c>
      <c r="K119" s="41" t="s">
        <v>95</v>
      </c>
      <c r="L119" s="44" t="s">
        <v>40</v>
      </c>
      <c r="M119" s="45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4">
        <v>119.0</v>
      </c>
      <c r="B120" s="29" t="str">
        <f t="shared" si="1"/>
        <v>034A-7x10</v>
      </c>
      <c r="C120" s="61">
        <f>VLOOKUP(B120,Stock!$B$2:$C$193,2,0)</f>
        <v>90</v>
      </c>
      <c r="D120" s="36" t="s">
        <v>49</v>
      </c>
      <c r="E120" s="37" t="str">
        <f>VLOOKUP(B120,RATES!$F$1:$G$152,2,0)</f>
        <v>#N/A</v>
      </c>
      <c r="F120" s="37" t="s">
        <v>51</v>
      </c>
      <c r="G120" s="62" t="str">
        <f>vlookup(B120,'2024'!$A$1:$F$134,6,0)</f>
        <v>034.A 7X10.png</v>
      </c>
      <c r="H120" s="43"/>
      <c r="I120" s="37" t="s">
        <v>86</v>
      </c>
      <c r="J120" s="42" t="s">
        <v>768</v>
      </c>
      <c r="K120" s="41" t="s">
        <v>95</v>
      </c>
      <c r="L120" s="44" t="s">
        <v>40</v>
      </c>
      <c r="M120" s="45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4">
        <v>120.0</v>
      </c>
      <c r="B121" s="29" t="str">
        <f t="shared" si="1"/>
        <v>034C-7x10</v>
      </c>
      <c r="C121" s="61">
        <f>VLOOKUP(B121,Stock!$B$2:$C$193,2,0)</f>
        <v>160</v>
      </c>
      <c r="D121" s="36" t="s">
        <v>49</v>
      </c>
      <c r="E121" s="37" t="str">
        <f>VLOOKUP(B121,RATES!$F$1:$G$152,2,0)</f>
        <v>#N/A</v>
      </c>
      <c r="F121" s="37" t="s">
        <v>51</v>
      </c>
      <c r="G121" s="62" t="str">
        <f>vlookup(B121,'2024'!$A$1:$F$134,6,0)</f>
        <v>034 C 7 X10.png</v>
      </c>
      <c r="H121" s="43"/>
      <c r="I121" s="37" t="s">
        <v>86</v>
      </c>
      <c r="J121" s="42" t="s">
        <v>771</v>
      </c>
      <c r="K121" s="41" t="s">
        <v>95</v>
      </c>
      <c r="L121" s="44" t="s">
        <v>40</v>
      </c>
      <c r="M121" s="45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4">
        <v>121.0</v>
      </c>
      <c r="B122" s="29" t="str">
        <f t="shared" si="1"/>
        <v>034D-7x10</v>
      </c>
      <c r="C122" s="61">
        <f>VLOOKUP(B122,Stock!$B$2:$C$193,2,0)</f>
        <v>150</v>
      </c>
      <c r="D122" s="36" t="s">
        <v>49</v>
      </c>
      <c r="E122" s="37" t="str">
        <f>VLOOKUP(B122,RATES!$F$1:$G$152,2,0)</f>
        <v>#N/A</v>
      </c>
      <c r="F122" s="37" t="s">
        <v>51</v>
      </c>
      <c r="G122" s="62" t="str">
        <f>vlookup(B122,'2024'!$A$1:$F$134,6,0)</f>
        <v>034.D 7X10.png</v>
      </c>
      <c r="H122" s="43"/>
      <c r="I122" s="37" t="s">
        <v>86</v>
      </c>
      <c r="J122" s="42" t="s">
        <v>774</v>
      </c>
      <c r="K122" s="41" t="s">
        <v>95</v>
      </c>
      <c r="L122" s="44" t="s">
        <v>40</v>
      </c>
      <c r="M122" s="45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4">
        <v>122.0</v>
      </c>
      <c r="B123" s="29" t="str">
        <f t="shared" si="1"/>
        <v>024C-8x8</v>
      </c>
      <c r="C123" s="61">
        <f>VLOOKUP(B123,Stock!$B$2:$C$193,2,0)</f>
        <v>130</v>
      </c>
      <c r="D123" s="36" t="s">
        <v>49</v>
      </c>
      <c r="E123" s="37" t="str">
        <f>VLOOKUP(B123,RATES!$F$1:$G$152,2,0)</f>
        <v>#N/A</v>
      </c>
      <c r="F123" s="37" t="s">
        <v>51</v>
      </c>
      <c r="G123" s="62" t="str">
        <f>vlookup(B123,'2024'!$A$1:$F$134,6,0)</f>
        <v>024C 8 X 8.png</v>
      </c>
      <c r="H123" s="43"/>
      <c r="I123" s="37" t="s">
        <v>86</v>
      </c>
      <c r="J123" s="42" t="s">
        <v>777</v>
      </c>
      <c r="K123" s="41" t="s">
        <v>95</v>
      </c>
      <c r="L123" s="44" t="s">
        <v>29</v>
      </c>
      <c r="M123" s="45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4">
        <v>123.0</v>
      </c>
      <c r="B124" s="29" t="str">
        <f t="shared" si="1"/>
        <v>024A-8x8</v>
      </c>
      <c r="C124" s="61">
        <f>VLOOKUP(B124,Stock!$B$2:$C$193,2,0)</f>
        <v>50</v>
      </c>
      <c r="D124" s="36" t="s">
        <v>49</v>
      </c>
      <c r="E124" s="37" t="str">
        <f>VLOOKUP(B124,RATES!$F$1:$G$152,2,0)</f>
        <v>#N/A</v>
      </c>
      <c r="F124" s="37" t="s">
        <v>51</v>
      </c>
      <c r="G124" s="62" t="str">
        <f>vlookup(B124,'2024'!$A$1:$F$134,6,0)</f>
        <v>024.A 8 X 8.png</v>
      </c>
      <c r="H124" s="43"/>
      <c r="I124" s="37" t="s">
        <v>86</v>
      </c>
      <c r="J124" s="42" t="s">
        <v>780</v>
      </c>
      <c r="K124" s="41" t="s">
        <v>95</v>
      </c>
      <c r="L124" s="44" t="s">
        <v>29</v>
      </c>
      <c r="M124" s="45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4">
        <v>124.0</v>
      </c>
      <c r="B125" s="29" t="str">
        <f t="shared" si="1"/>
        <v>024D-8x8</v>
      </c>
      <c r="C125" s="61">
        <f>VLOOKUP(B125,Stock!$B$2:$C$193,2,0)</f>
        <v>90</v>
      </c>
      <c r="D125" s="36" t="s">
        <v>49</v>
      </c>
      <c r="E125" s="37" t="str">
        <f>VLOOKUP(B125,RATES!$F$1:$G$152,2,0)</f>
        <v>#N/A</v>
      </c>
      <c r="F125" s="37" t="s">
        <v>51</v>
      </c>
      <c r="G125" s="62" t="str">
        <f>vlookup(B125,'2024'!$A$1:$F$134,6,0)</f>
        <v>024D 8 X 8.png</v>
      </c>
      <c r="H125" s="43"/>
      <c r="I125" s="37" t="s">
        <v>86</v>
      </c>
      <c r="J125" s="42" t="s">
        <v>782</v>
      </c>
      <c r="K125" s="41" t="s">
        <v>95</v>
      </c>
      <c r="L125" s="44" t="s">
        <v>29</v>
      </c>
      <c r="M125" s="45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4">
        <v>125.0</v>
      </c>
      <c r="B126" s="29" t="str">
        <f t="shared" si="1"/>
        <v>183B-9x9</v>
      </c>
      <c r="C126" s="61">
        <f>VLOOKUP(B126,Stock!$B$2:$C$193,2,0)</f>
        <v>50</v>
      </c>
      <c r="D126" s="36" t="s">
        <v>49</v>
      </c>
      <c r="E126" s="37" t="str">
        <f>VLOOKUP(B126,RATES!$F$1:$G$152,2,0)</f>
        <v>#N/A</v>
      </c>
      <c r="F126" s="37" t="s">
        <v>51</v>
      </c>
      <c r="G126" s="62" t="str">
        <f>vlookup(B126,'2024'!$A$1:$F$134,6,0)</f>
        <v>183B  9 X 9 200 G.jpg</v>
      </c>
      <c r="H126" s="43"/>
      <c r="I126" s="37" t="s">
        <v>86</v>
      </c>
      <c r="J126" s="42" t="s">
        <v>785</v>
      </c>
      <c r="K126" s="41" t="s">
        <v>95</v>
      </c>
      <c r="L126" s="44" t="s">
        <v>786</v>
      </c>
      <c r="M126" s="45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4">
        <v>126.0</v>
      </c>
      <c r="B127" s="29" t="str">
        <f t="shared" si="1"/>
        <v>183B-400G</v>
      </c>
      <c r="C127" s="61">
        <f>VLOOKUP(B127,Stock!$B$2:$C$193,2,0)</f>
        <v>50</v>
      </c>
      <c r="D127" s="36" t="s">
        <v>49</v>
      </c>
      <c r="E127" s="37" t="str">
        <f>VLOOKUP(B127,RATES!$F$1:$G$152,2,0)</f>
        <v>#N/A</v>
      </c>
      <c r="F127" s="37" t="s">
        <v>51</v>
      </c>
      <c r="G127" s="62" t="str">
        <f>vlookup(B127,'2024'!$A$1:$F$134,6,0)</f>
        <v>183B 11 X 11 400 G.jpg</v>
      </c>
      <c r="H127" s="43"/>
      <c r="I127" s="37" t="s">
        <v>229</v>
      </c>
      <c r="J127" s="42" t="s">
        <v>785</v>
      </c>
      <c r="K127" s="41" t="s">
        <v>95</v>
      </c>
      <c r="L127" s="44" t="s">
        <v>229</v>
      </c>
      <c r="M127" s="45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4">
        <v>127.0</v>
      </c>
      <c r="B128" s="29" t="str">
        <f t="shared" si="1"/>
        <v>183A-400G</v>
      </c>
      <c r="C128" s="61">
        <f>VLOOKUP(B128,Stock!$B$2:$C$193,2,0)</f>
        <v>120</v>
      </c>
      <c r="D128" s="36" t="s">
        <v>49</v>
      </c>
      <c r="E128" s="37" t="str">
        <f>VLOOKUP(B128,RATES!$F$1:$G$152,2,0)</f>
        <v>#N/A</v>
      </c>
      <c r="F128" s="37" t="s">
        <v>51</v>
      </c>
      <c r="G128" s="62" t="str">
        <f>vlookup(B128,'2024'!$A$1:$F$134,6,0)</f>
        <v>183A 11 X 11 400 G.jpg</v>
      </c>
      <c r="H128" s="43"/>
      <c r="I128" s="37" t="s">
        <v>229</v>
      </c>
      <c r="J128" s="42" t="s">
        <v>791</v>
      </c>
      <c r="K128" s="41" t="s">
        <v>95</v>
      </c>
      <c r="L128" s="44" t="s">
        <v>229</v>
      </c>
      <c r="M128" s="45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4">
        <v>128.0</v>
      </c>
      <c r="B129" s="29" t="str">
        <f t="shared" si="1"/>
        <v>1134-8x12</v>
      </c>
      <c r="C129" s="61">
        <f>VLOOKUP(B129,Stock!$B$2:$C$193,2,0)</f>
        <v>60</v>
      </c>
      <c r="D129" s="36" t="s">
        <v>49</v>
      </c>
      <c r="E129" s="37" t="str">
        <f>VLOOKUP(B129,RATES!$F$1:$G$152,2,0)</f>
        <v>#N/A</v>
      </c>
      <c r="F129" s="37" t="s">
        <v>51</v>
      </c>
      <c r="G129" s="62" t="str">
        <f>vlookup(B129,'2024'!$A$1:$F$134,6,0)</f>
        <v>1134 8 x 12.HEIC</v>
      </c>
      <c r="H129" s="43"/>
      <c r="I129" s="36" t="str">
        <f>vlookup(B129,'2024'!$A$1:$G$134,7,0)</f>
        <v>300 G</v>
      </c>
      <c r="J129" s="42" t="s">
        <v>794</v>
      </c>
      <c r="K129" s="41" t="s">
        <v>95</v>
      </c>
      <c r="L129" s="44" t="s">
        <v>34</v>
      </c>
      <c r="M129" s="45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4">
        <v>129.0</v>
      </c>
      <c r="B130" s="29" t="str">
        <f t="shared" si="1"/>
        <v>1124-8x12</v>
      </c>
      <c r="C130" s="61">
        <f>VLOOKUP(B130,Stock!$B$2:$C$193,2,0)</f>
        <v>20</v>
      </c>
      <c r="D130" s="36" t="s">
        <v>49</v>
      </c>
      <c r="E130" s="37" t="str">
        <f>VLOOKUP(B130,RATES!$F$1:$G$152,2,0)</f>
        <v>#N/A</v>
      </c>
      <c r="F130" s="37" t="s">
        <v>51</v>
      </c>
      <c r="G130" s="62" t="str">
        <f>vlookup(B130,'2024'!$A$1:$F$134,6,0)</f>
        <v>1124 8 X 12.png</v>
      </c>
      <c r="H130" s="43"/>
      <c r="I130" s="36" t="str">
        <f>vlookup(B130,'2024'!$A$1:$G$134,7,0)</f>
        <v>300 G</v>
      </c>
      <c r="J130" s="42" t="s">
        <v>576</v>
      </c>
      <c r="K130" s="41" t="s">
        <v>95</v>
      </c>
      <c r="L130" s="44" t="s">
        <v>34</v>
      </c>
      <c r="M130" s="45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4">
        <v>130.0</v>
      </c>
      <c r="B131" s="29" t="str">
        <f t="shared" si="1"/>
        <v>1104-8x12</v>
      </c>
      <c r="C131" s="61">
        <f>VLOOKUP(B131,Stock!$B$2:$C$193,2,0)</f>
        <v>60</v>
      </c>
      <c r="D131" s="36" t="s">
        <v>49</v>
      </c>
      <c r="E131" s="37" t="str">
        <f>VLOOKUP(B131,RATES!$F$1:$G$152,2,0)</f>
        <v>#N/A</v>
      </c>
      <c r="F131" s="37" t="s">
        <v>51</v>
      </c>
      <c r="G131" s="62" t="str">
        <f>vlookup(B131,'2024'!$A$1:$F$134,6,0)</f>
        <v>1104 8 X 12.png</v>
      </c>
      <c r="H131" s="43"/>
      <c r="I131" s="36" t="str">
        <f>vlookup(B131,'2024'!$A$1:$G$134,7,0)</f>
        <v>300 G</v>
      </c>
      <c r="J131" s="42" t="s">
        <v>799</v>
      </c>
      <c r="K131" s="41" t="s">
        <v>95</v>
      </c>
      <c r="L131" s="44" t="s">
        <v>34</v>
      </c>
      <c r="M131" s="45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4">
        <v>131.0</v>
      </c>
      <c r="B132" s="29" t="str">
        <f t="shared" si="1"/>
        <v>1114-8x12</v>
      </c>
      <c r="C132" s="61">
        <f>VLOOKUP(B132,Stock!$B$2:$C$193,2,0)</f>
        <v>10</v>
      </c>
      <c r="D132" s="36" t="s">
        <v>49</v>
      </c>
      <c r="E132" s="37" t="str">
        <f>VLOOKUP(B132,RATES!$F$1:$G$152,2,0)</f>
        <v>#N/A</v>
      </c>
      <c r="F132" s="37" t="s">
        <v>51</v>
      </c>
      <c r="G132" s="62" t="str">
        <f>vlookup(B132,'2024'!$A$1:$F$134,6,0)</f>
        <v>1114 8 X12.png</v>
      </c>
      <c r="H132" s="43"/>
      <c r="I132" s="36" t="str">
        <f>vlookup(B132,'2024'!$A$1:$G$134,7,0)</f>
        <v>300 G</v>
      </c>
      <c r="J132" s="42" t="s">
        <v>802</v>
      </c>
      <c r="K132" s="41" t="s">
        <v>95</v>
      </c>
      <c r="L132" s="44" t="s">
        <v>34</v>
      </c>
      <c r="M132" s="45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4">
        <v>132.0</v>
      </c>
      <c r="B133" s="29" t="str">
        <f t="shared" si="1"/>
        <v>1144-8x12</v>
      </c>
      <c r="C133" s="61">
        <f>VLOOKUP(B133,Stock!$B$2:$C$193,2,0)</f>
        <v>10</v>
      </c>
      <c r="D133" s="36" t="s">
        <v>49</v>
      </c>
      <c r="E133" s="37" t="str">
        <f>VLOOKUP(B133,RATES!$F$1:$G$152,2,0)</f>
        <v>#N/A</v>
      </c>
      <c r="F133" s="37" t="s">
        <v>51</v>
      </c>
      <c r="G133" s="62" t="str">
        <f>vlookup(B133,'2024'!$A$1:$F$134,6,0)</f>
        <v>1144 8 X 12.png</v>
      </c>
      <c r="H133" s="43"/>
      <c r="I133" s="36" t="str">
        <f>vlookup(B133,'2024'!$A$1:$G$134,7,0)</f>
        <v>300 G</v>
      </c>
      <c r="J133" s="42" t="s">
        <v>806</v>
      </c>
      <c r="K133" s="41" t="s">
        <v>95</v>
      </c>
      <c r="L133" s="44" t="s">
        <v>34</v>
      </c>
      <c r="M133" s="45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4">
        <v>133.0</v>
      </c>
      <c r="B134" s="29" t="str">
        <f t="shared" si="1"/>
        <v>1034-12x12</v>
      </c>
      <c r="C134" s="61">
        <f>VLOOKUP(B134,Stock!$B$2:$C$193,2,0)</f>
        <v>10</v>
      </c>
      <c r="D134" s="36" t="s">
        <v>49</v>
      </c>
      <c r="E134" s="37" t="str">
        <f>VLOOKUP(B134,RATES!$F$1:$G$152,2,0)</f>
        <v>#N/A</v>
      </c>
      <c r="F134" s="37" t="s">
        <v>51</v>
      </c>
      <c r="G134" s="62" t="str">
        <f>vlookup(B134,'2024'!$A$1:$F$134,6,0)</f>
        <v>1034  12 X 12.png</v>
      </c>
      <c r="H134" s="43"/>
      <c r="I134" s="36" t="str">
        <f>vlookup(B134,'2024'!$A$1:$G$134,7,0)</f>
        <v>800 G</v>
      </c>
      <c r="J134" s="42" t="s">
        <v>809</v>
      </c>
      <c r="K134" s="41" t="s">
        <v>95</v>
      </c>
      <c r="L134" s="44" t="s">
        <v>48</v>
      </c>
      <c r="M134" s="45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4">
        <v>134.0</v>
      </c>
      <c r="B135" s="29" t="str">
        <f t="shared" si="1"/>
        <v>183B-12x12</v>
      </c>
      <c r="C135" s="61">
        <f>VLOOKUP(B135,Stock!$B$2:$C$193,2,0)</f>
        <v>10</v>
      </c>
      <c r="D135" s="36" t="s">
        <v>49</v>
      </c>
      <c r="E135" s="37" t="str">
        <f>VLOOKUP(B135,RATES!$F$1:$G$152,2,0)</f>
        <v>#N/A</v>
      </c>
      <c r="F135" s="37" t="s">
        <v>51</v>
      </c>
      <c r="G135" s="39" t="s">
        <v>812</v>
      </c>
      <c r="H135" s="43"/>
      <c r="I135" s="37" t="s">
        <v>299</v>
      </c>
      <c r="J135" s="42" t="s">
        <v>785</v>
      </c>
      <c r="K135" s="41" t="s">
        <v>95</v>
      </c>
      <c r="L135" s="44" t="s">
        <v>48</v>
      </c>
      <c r="M135" s="45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4">
        <v>135.0</v>
      </c>
      <c r="B136" s="29" t="str">
        <f t="shared" si="1"/>
        <v>183A-9x9</v>
      </c>
      <c r="C136" s="61">
        <f>VLOOKUP(B136,Stock!$B$2:$C$193,2,0)</f>
        <v>120</v>
      </c>
      <c r="D136" s="36" t="s">
        <v>49</v>
      </c>
      <c r="E136" s="37" t="str">
        <f>VLOOKUP(B136,RATES!$F$1:$G$152,2,0)</f>
        <v>#N/A</v>
      </c>
      <c r="F136" s="37" t="s">
        <v>51</v>
      </c>
      <c r="G136" s="62" t="str">
        <f>vlookup(B136,'2024'!$A$1:$F$134,6,0)</f>
        <v>183A  9 X 9  200G.jpg</v>
      </c>
      <c r="H136" s="43"/>
      <c r="I136" s="37" t="s">
        <v>86</v>
      </c>
      <c r="J136" s="42" t="s">
        <v>791</v>
      </c>
      <c r="K136" s="41" t="s">
        <v>95</v>
      </c>
      <c r="L136" s="44" t="s">
        <v>786</v>
      </c>
      <c r="M136" s="45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4">
        <v>136.0</v>
      </c>
      <c r="B137" s="29" t="str">
        <f t="shared" si="1"/>
        <v>123-12x12</v>
      </c>
      <c r="C137" s="61">
        <f>VLOOKUP(B137,Stock!$B$2:$C$193,2,0)</f>
        <v>10</v>
      </c>
      <c r="D137" s="36" t="s">
        <v>49</v>
      </c>
      <c r="E137" s="37" t="str">
        <f>VLOOKUP(B137,RATES!$F$1:$G$152,2,0)</f>
        <v>#N/A</v>
      </c>
      <c r="F137" s="37" t="s">
        <v>51</v>
      </c>
      <c r="G137" s="39" t="s">
        <v>812</v>
      </c>
      <c r="H137" s="43"/>
      <c r="I137" s="37" t="s">
        <v>299</v>
      </c>
      <c r="J137" s="42" t="s">
        <v>815</v>
      </c>
      <c r="K137" s="41" t="s">
        <v>95</v>
      </c>
      <c r="L137" s="44" t="s">
        <v>48</v>
      </c>
      <c r="M137" s="45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4">
        <v>137.0</v>
      </c>
      <c r="B138" s="29" t="str">
        <f t="shared" si="1"/>
        <v>1104-10x15</v>
      </c>
      <c r="C138" s="61">
        <f>VLOOKUP(B138,Stock!$B$2:$C$193,2,0)</f>
        <v>10</v>
      </c>
      <c r="D138" s="36" t="s">
        <v>49</v>
      </c>
      <c r="E138" s="37" t="str">
        <f>VLOOKUP(B138,RATES!$F$1:$G$152,2,0)</f>
        <v>#N/A</v>
      </c>
      <c r="F138" s="37" t="s">
        <v>51</v>
      </c>
      <c r="G138" s="62" t="str">
        <f>vlookup(B138,'2024'!$A$1:$F$134,6,0)</f>
        <v>1104 10 X 15.png</v>
      </c>
      <c r="H138" s="43"/>
      <c r="I138" s="36" t="str">
        <f>vlookup(B138,'2024'!$A$1:$G$134,7,0)</f>
        <v>600 G</v>
      </c>
      <c r="J138" s="42" t="s">
        <v>799</v>
      </c>
      <c r="K138" s="41" t="s">
        <v>95</v>
      </c>
      <c r="L138" s="44" t="s">
        <v>45</v>
      </c>
      <c r="M138" s="45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4">
        <v>138.0</v>
      </c>
      <c r="B139" s="29" t="str">
        <f t="shared" si="1"/>
        <v>223A-3x1</v>
      </c>
      <c r="C139" s="61">
        <f>VLOOKUP(B139,Stock!$B$2:$C$193,2,0)</f>
        <v>24</v>
      </c>
      <c r="D139" s="36" t="s">
        <v>49</v>
      </c>
      <c r="E139" s="37" t="str">
        <f>VLOOKUP(B139,RATES!$F$1:$G$152,2,0)</f>
        <v>#N/A</v>
      </c>
      <c r="F139" s="37" t="s">
        <v>295</v>
      </c>
      <c r="G139" s="62" t="str">
        <f>vlookup(B139,'2024'!$A$1:$F$134,6,0)</f>
        <v>223A  3 X 1.jpg</v>
      </c>
      <c r="H139" s="43"/>
      <c r="I139" s="37" t="s">
        <v>285</v>
      </c>
      <c r="J139" s="42" t="s">
        <v>817</v>
      </c>
      <c r="K139" s="41" t="s">
        <v>95</v>
      </c>
      <c r="L139" s="44" t="s">
        <v>81</v>
      </c>
      <c r="M139" s="45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4">
        <v>87.0</v>
      </c>
      <c r="B140" s="29" t="str">
        <f t="shared" si="1"/>
        <v>025-6x1</v>
      </c>
      <c r="C140" s="61">
        <f>VLOOKUP(B140,Stock!$B$2:$C$193,2,0)</f>
        <v>30</v>
      </c>
      <c r="D140" s="36" t="s">
        <v>49</v>
      </c>
      <c r="E140" s="37">
        <f>VLOOKUP(B140,RATES!$F$1:$G$152,2,0)</f>
        <v>820</v>
      </c>
      <c r="F140" s="37" t="s">
        <v>295</v>
      </c>
      <c r="G140" s="62"/>
      <c r="H140" s="43"/>
      <c r="I140" s="37" t="s">
        <v>396</v>
      </c>
      <c r="J140" s="42" t="s">
        <v>515</v>
      </c>
      <c r="K140" s="43" t="s">
        <v>95</v>
      </c>
      <c r="L140" s="44" t="s">
        <v>100</v>
      </c>
      <c r="M140" s="45" t="s">
        <v>10</v>
      </c>
      <c r="N140" s="45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4">
        <v>94.0</v>
      </c>
      <c r="B141" s="29" t="str">
        <f t="shared" si="1"/>
        <v>024-6x1</v>
      </c>
      <c r="C141" s="61">
        <f>VLOOKUP(B141,Stock!$B$2:$C$193,2,0)</f>
        <v>30</v>
      </c>
      <c r="D141" s="36" t="s">
        <v>49</v>
      </c>
      <c r="E141" s="37" t="str">
        <f>VLOOKUP(B141,RATES!$F$1:$G$152,2,0)</f>
        <v>#N/A</v>
      </c>
      <c r="F141" s="37" t="s">
        <v>295</v>
      </c>
      <c r="G141" s="62"/>
      <c r="H141" s="43"/>
      <c r="I141" s="37" t="s">
        <v>396</v>
      </c>
      <c r="J141" s="42" t="s">
        <v>511</v>
      </c>
      <c r="K141" s="43" t="s">
        <v>95</v>
      </c>
      <c r="L141" s="44" t="s">
        <v>100</v>
      </c>
      <c r="M141" s="45" t="s">
        <v>10</v>
      </c>
      <c r="N141" s="45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4">
        <v>101.0</v>
      </c>
      <c r="B142" s="29" t="str">
        <f t="shared" si="1"/>
        <v>374-6x1</v>
      </c>
      <c r="C142" s="61">
        <f>VLOOKUP(B142,Stock!$B$2:$C$193,2,0)</f>
        <v>30</v>
      </c>
      <c r="D142" s="36" t="s">
        <v>49</v>
      </c>
      <c r="E142" s="37" t="str">
        <f>VLOOKUP(B142,RATES!$F$1:$G$152,2,0)</f>
        <v>#N/A</v>
      </c>
      <c r="F142" s="37" t="s">
        <v>295</v>
      </c>
      <c r="G142" s="62"/>
      <c r="H142" s="43"/>
      <c r="I142" s="37" t="s">
        <v>316</v>
      </c>
      <c r="J142" s="42" t="s">
        <v>745</v>
      </c>
      <c r="K142" s="43" t="s">
        <v>95</v>
      </c>
      <c r="L142" s="44" t="s">
        <v>100</v>
      </c>
      <c r="M142" s="45" t="s">
        <v>10</v>
      </c>
      <c r="N142" s="45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4">
        <v>106.0</v>
      </c>
      <c r="B143" s="29" t="str">
        <f t="shared" si="1"/>
        <v>335-4x1</v>
      </c>
      <c r="C143" s="61">
        <f>VLOOKUP(B143,Stock!$B$2:$C$193,2,0)</f>
        <v>30</v>
      </c>
      <c r="D143" s="36" t="s">
        <v>49</v>
      </c>
      <c r="E143" s="37" t="str">
        <f>VLOOKUP(B143,RATES!$F$1:$G$152,2,0)</f>
        <v>#N/A</v>
      </c>
      <c r="F143" s="37" t="s">
        <v>295</v>
      </c>
      <c r="G143" s="62"/>
      <c r="H143" s="43"/>
      <c r="I143" s="37" t="s">
        <v>299</v>
      </c>
      <c r="J143" s="42" t="s">
        <v>310</v>
      </c>
      <c r="K143" s="43" t="s">
        <v>95</v>
      </c>
      <c r="L143" s="44" t="s">
        <v>93</v>
      </c>
      <c r="M143" s="45" t="s">
        <v>10</v>
      </c>
      <c r="N143" s="45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4">
        <v>143.0</v>
      </c>
      <c r="B144" s="29" t="str">
        <f t="shared" si="1"/>
        <v>233-3x1</v>
      </c>
      <c r="C144" s="61">
        <f>VLOOKUP(B144,Stock!$B$2:$C$193,2,0)</f>
        <v>30</v>
      </c>
      <c r="D144" s="36" t="s">
        <v>49</v>
      </c>
      <c r="E144" s="37" t="str">
        <f>VLOOKUP(B144,RATES!$F$1:$G$152,2,0)</f>
        <v>#N/A</v>
      </c>
      <c r="F144" s="37" t="s">
        <v>295</v>
      </c>
      <c r="G144" s="62" t="str">
        <f>vlookup(B144,'2024'!$A$1:$F$134,6,0)</f>
        <v>233  3 X 1.jpg</v>
      </c>
      <c r="H144" s="43"/>
      <c r="I144" s="37" t="s">
        <v>821</v>
      </c>
      <c r="J144" s="42" t="s">
        <v>822</v>
      </c>
      <c r="K144" s="41" t="s">
        <v>95</v>
      </c>
      <c r="L144" s="44" t="s">
        <v>81</v>
      </c>
      <c r="M144" s="45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4">
        <v>144.0</v>
      </c>
      <c r="B145" s="29" t="str">
        <f t="shared" si="1"/>
        <v>243A-3x1</v>
      </c>
      <c r="C145" s="61">
        <f>VLOOKUP(B145,Stock!$B$2:$C$193,2,0)</f>
        <v>18</v>
      </c>
      <c r="D145" s="36" t="s">
        <v>49</v>
      </c>
      <c r="E145" s="37" t="str">
        <f>VLOOKUP(B145,RATES!$F$1:$G$152,2,0)</f>
        <v>#N/A</v>
      </c>
      <c r="F145" s="37" t="s">
        <v>295</v>
      </c>
      <c r="G145" s="39" t="s">
        <v>812</v>
      </c>
      <c r="H145" s="43"/>
      <c r="I145" s="37" t="s">
        <v>524</v>
      </c>
      <c r="J145" s="42" t="s">
        <v>824</v>
      </c>
      <c r="K145" s="41" t="s">
        <v>95</v>
      </c>
      <c r="L145" s="44" t="s">
        <v>81</v>
      </c>
      <c r="M145" s="45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4">
        <v>145.0</v>
      </c>
      <c r="B146" s="29" t="str">
        <f t="shared" si="1"/>
        <v>604-11x11</v>
      </c>
      <c r="C146" s="61">
        <f>VLOOKUP(B146,Stock!$B$2:$C$193,2,0)</f>
        <v>40</v>
      </c>
      <c r="D146" s="36" t="s">
        <v>49</v>
      </c>
      <c r="E146" s="37" t="str">
        <f>VLOOKUP(B146,RATES!$F$1:$G$152,2,0)</f>
        <v>#N/A</v>
      </c>
      <c r="F146" s="37" t="s">
        <v>295</v>
      </c>
      <c r="G146" s="62" t="str">
        <f>vlookup(B146,'2024'!$A$1:$F$134,6,0)</f>
        <v>604 4jar.jpg</v>
      </c>
      <c r="H146" s="43"/>
      <c r="I146" s="37" t="s">
        <v>229</v>
      </c>
      <c r="J146" s="42" t="s">
        <v>825</v>
      </c>
      <c r="K146" s="41" t="s">
        <v>95</v>
      </c>
      <c r="L146" s="44" t="s">
        <v>41</v>
      </c>
      <c r="M146" s="45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4">
        <v>146.0</v>
      </c>
      <c r="B147" s="29" t="str">
        <f t="shared" si="1"/>
        <v>615-11x11</v>
      </c>
      <c r="C147" s="61">
        <f>VLOOKUP(B147,Stock!$B$2:$C$193,2,0)</f>
        <v>25</v>
      </c>
      <c r="D147" s="36" t="s">
        <v>49</v>
      </c>
      <c r="E147" s="37" t="str">
        <f>VLOOKUP(B147,RATES!$F$1:$G$152,2,0)</f>
        <v>#N/A</v>
      </c>
      <c r="F147" s="37" t="s">
        <v>295</v>
      </c>
      <c r="G147" s="62" t="str">
        <f>vlookup(B147,'2024'!$A$1:$F$134,6,0)</f>
        <v>615(diya lazer) 11 X 11.jpg</v>
      </c>
      <c r="H147" s="43"/>
      <c r="I147" s="37" t="s">
        <v>229</v>
      </c>
      <c r="J147" s="42" t="s">
        <v>827</v>
      </c>
      <c r="K147" s="41" t="s">
        <v>95</v>
      </c>
      <c r="L147" s="44" t="s">
        <v>41</v>
      </c>
      <c r="M147" s="45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4">
        <v>147.0</v>
      </c>
      <c r="B148" s="29" t="str">
        <f t="shared" si="1"/>
        <v>251-11x11</v>
      </c>
      <c r="C148" s="61">
        <f>VLOOKUP(B148,Stock!$B$2:$C$193,2,0)</f>
        <v>20</v>
      </c>
      <c r="D148" s="36" t="s">
        <v>49</v>
      </c>
      <c r="E148" s="37" t="str">
        <f>VLOOKUP(B148,RATES!$F$1:$G$152,2,0)</f>
        <v>#N/A</v>
      </c>
      <c r="F148" s="37" t="s">
        <v>295</v>
      </c>
      <c r="G148" s="62" t="str">
        <f>vlookup(B148,'2024'!$A$1:$F$134,6,0)</f>
        <v>251(copper) 11 X 11.jpg</v>
      </c>
      <c r="H148" s="43"/>
      <c r="I148" s="37" t="s">
        <v>229</v>
      </c>
      <c r="J148" s="42" t="s">
        <v>829</v>
      </c>
      <c r="K148" s="41" t="s">
        <v>95</v>
      </c>
      <c r="L148" s="44" t="s">
        <v>41</v>
      </c>
      <c r="M148" s="45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4">
        <v>148.0</v>
      </c>
      <c r="B149" s="29" t="str">
        <f t="shared" si="1"/>
        <v>F-21-4x1</v>
      </c>
      <c r="C149" s="61">
        <f>VLOOKUP(B149,Stock!$B$2:$C$193,2,0)</f>
        <v>15</v>
      </c>
      <c r="D149" s="36" t="s">
        <v>49</v>
      </c>
      <c r="E149" s="37" t="str">
        <f>VLOOKUP(B149,RATES!$F$1:$G$152,2,0)</f>
        <v>#N/A</v>
      </c>
      <c r="F149" s="37" t="s">
        <v>295</v>
      </c>
      <c r="G149" s="62" t="str">
        <f>vlookup(B149,'2024'!$A$1:$F$134,6,0)</f>
        <v>FT021 4 X 1.png</v>
      </c>
      <c r="H149" s="43"/>
      <c r="I149" s="37" t="s">
        <v>229</v>
      </c>
      <c r="J149" s="42" t="s">
        <v>832</v>
      </c>
      <c r="K149" s="41" t="s">
        <v>95</v>
      </c>
      <c r="L149" s="44" t="s">
        <v>93</v>
      </c>
      <c r="M149" s="45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4">
        <v>149.0</v>
      </c>
      <c r="B150" s="29" t="str">
        <f t="shared" si="1"/>
        <v>404-10x15</v>
      </c>
      <c r="C150" s="61">
        <f>VLOOKUP(B150,Stock!$B$2:$C$193,2,0)</f>
        <v>20</v>
      </c>
      <c r="D150" s="36" t="s">
        <v>49</v>
      </c>
      <c r="E150" s="37">
        <f>VLOOKUP(B150,RATES!$F$1:$G$152,2,0)</f>
        <v>155</v>
      </c>
      <c r="F150" s="37" t="s">
        <v>295</v>
      </c>
      <c r="G150" s="62" t="str">
        <f>vlookup(B150,'2024'!$A$1:$F$134,6,0)</f>
        <v>404 10 X 15.jpeg</v>
      </c>
      <c r="H150" s="43"/>
      <c r="I150" s="37" t="s">
        <v>285</v>
      </c>
      <c r="J150" s="42" t="s">
        <v>519</v>
      </c>
      <c r="K150" s="41" t="s">
        <v>95</v>
      </c>
      <c r="L150" s="44" t="s">
        <v>45</v>
      </c>
      <c r="M150" s="45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4">
        <v>150.0</v>
      </c>
      <c r="B151" s="29" t="str">
        <f t="shared" si="1"/>
        <v>324-8x1</v>
      </c>
      <c r="C151" s="61">
        <f>VLOOKUP(B151,Stock!$B$2:$C$193,2,0)</f>
        <v>18</v>
      </c>
      <c r="D151" s="36" t="s">
        <v>49</v>
      </c>
      <c r="E151" s="37" t="str">
        <f>VLOOKUP(B151,RATES!$F$1:$G$152,2,0)</f>
        <v>#N/A</v>
      </c>
      <c r="F151" s="37" t="s">
        <v>295</v>
      </c>
      <c r="G151" s="62" t="str">
        <f>vlookup(B151,'2024'!$A$1:$F$134,6,0)</f>
        <v>324A 8 X 1.png</v>
      </c>
      <c r="H151" s="43"/>
      <c r="I151" s="37" t="s">
        <v>299</v>
      </c>
      <c r="J151" s="42" t="s">
        <v>835</v>
      </c>
      <c r="K151" s="41" t="s">
        <v>95</v>
      </c>
      <c r="L151" s="44" t="s">
        <v>231</v>
      </c>
      <c r="M151" s="45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4">
        <v>151.0</v>
      </c>
      <c r="B152" s="29" t="str">
        <f t="shared" si="1"/>
        <v>2012A-2x1</v>
      </c>
      <c r="C152" s="61">
        <f>VLOOKUP(B152,Stock!$B$2:$C$193,2,0)</f>
        <v>12</v>
      </c>
      <c r="D152" s="36" t="s">
        <v>49</v>
      </c>
      <c r="E152" s="37" t="str">
        <f>VLOOKUP(B152,RATES!$F$1:$G$152,2,0)</f>
        <v>#N/A</v>
      </c>
      <c r="F152" s="37" t="s">
        <v>295</v>
      </c>
      <c r="G152" s="62" t="str">
        <f>vlookup(B152,'2024'!$A$1:$F$134,6,0)</f>
        <v>2012A 2X1.jpeg</v>
      </c>
      <c r="H152" s="43"/>
      <c r="I152" s="37" t="s">
        <v>229</v>
      </c>
      <c r="J152" s="42" t="s">
        <v>838</v>
      </c>
      <c r="K152" s="41" t="s">
        <v>95</v>
      </c>
      <c r="L152" s="44" t="s">
        <v>3</v>
      </c>
      <c r="M152" s="45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4">
        <v>152.0</v>
      </c>
      <c r="B153" s="29" t="str">
        <f t="shared" si="1"/>
        <v>213A-3x1</v>
      </c>
      <c r="C153" s="61">
        <f>VLOOKUP(B153,Stock!$B$2:$C$193,2,0)</f>
        <v>12</v>
      </c>
      <c r="D153" s="36" t="s">
        <v>49</v>
      </c>
      <c r="E153" s="37" t="str">
        <f>VLOOKUP(B153,RATES!$F$1:$G$152,2,0)</f>
        <v>#N/A</v>
      </c>
      <c r="F153" s="37" t="s">
        <v>295</v>
      </c>
      <c r="G153" s="62" t="str">
        <f>vlookup(B153,'2024'!$A$1:$F$134,6,0)</f>
        <v>213A  3 X 1.jpg</v>
      </c>
      <c r="H153" s="43"/>
      <c r="I153" s="37" t="s">
        <v>821</v>
      </c>
      <c r="J153" s="42" t="s">
        <v>839</v>
      </c>
      <c r="K153" s="41" t="s">
        <v>95</v>
      </c>
      <c r="L153" s="44" t="s">
        <v>81</v>
      </c>
      <c r="M153" s="45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4">
        <v>139.0</v>
      </c>
      <c r="B154" s="29" t="str">
        <f t="shared" si="1"/>
        <v>324A-6x1</v>
      </c>
      <c r="C154" s="61">
        <f>VLOOKUP(B154,Stock!$B$2:$C$193,2,0)</f>
        <v>6</v>
      </c>
      <c r="D154" s="36" t="s">
        <v>49</v>
      </c>
      <c r="E154" s="37" t="str">
        <f>VLOOKUP(B154,RATES!$F$1:$G$152,2,0)</f>
        <v>#N/A</v>
      </c>
      <c r="F154" s="37" t="s">
        <v>295</v>
      </c>
      <c r="G154" s="62" t="str">
        <f>vlookup(B154,'2024'!$A$1:$F$134,6,0)</f>
        <v>324A 6 X 1.png</v>
      </c>
      <c r="H154" s="43"/>
      <c r="I154" s="37" t="s">
        <v>285</v>
      </c>
      <c r="J154" s="42" t="s">
        <v>840</v>
      </c>
      <c r="K154" s="41" t="s">
        <v>95</v>
      </c>
      <c r="L154" s="44" t="s">
        <v>100</v>
      </c>
      <c r="M154" s="45"/>
      <c r="N154" s="45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4">
        <v>154.0</v>
      </c>
      <c r="B155" s="29" t="str">
        <f t="shared" si="1"/>
        <v>323-6x1</v>
      </c>
      <c r="C155" s="61">
        <f>VLOOKUP(B155,Stock!$B$2:$C$193,2,0)</f>
        <v>12</v>
      </c>
      <c r="D155" s="36" t="s">
        <v>49</v>
      </c>
      <c r="E155" s="37" t="str">
        <f>VLOOKUP(B155,RATES!$F$1:$G$152,2,0)</f>
        <v>#N/A</v>
      </c>
      <c r="F155" s="37" t="s">
        <v>295</v>
      </c>
      <c r="G155" s="62" t="str">
        <f>vlookup(B155,'2024'!$A$1:$F$134,6,0)</f>
        <v>323 6 X 1.jpg</v>
      </c>
      <c r="H155" s="43"/>
      <c r="I155" s="37" t="s">
        <v>316</v>
      </c>
      <c r="J155" s="42" t="s">
        <v>842</v>
      </c>
      <c r="K155" s="41" t="s">
        <v>95</v>
      </c>
      <c r="L155" s="44" t="s">
        <v>100</v>
      </c>
      <c r="M155" s="45"/>
      <c r="N155" s="45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4">
        <v>155.0</v>
      </c>
      <c r="B156" s="29" t="str">
        <f t="shared" si="1"/>
        <v>-</v>
      </c>
      <c r="C156" s="61" t="str">
        <f>VLOOKUP(B156,Stock!$B$2:$C$193,2,0)</f>
        <v>#N/A</v>
      </c>
      <c r="D156" s="36" t="s">
        <v>49</v>
      </c>
      <c r="E156" s="37"/>
      <c r="F156" s="36"/>
      <c r="G156" s="62"/>
      <c r="H156" s="43"/>
      <c r="I156" s="36"/>
      <c r="J156" s="42"/>
      <c r="K156" s="43" t="s">
        <v>95</v>
      </c>
      <c r="L156" s="44"/>
      <c r="M156" s="45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4">
        <v>156.0</v>
      </c>
      <c r="B157" s="29" t="str">
        <f t="shared" si="1"/>
        <v>-</v>
      </c>
      <c r="C157" s="61" t="str">
        <f>VLOOKUP(B157,Stock!$B$2:$C$193,2,0)</f>
        <v>#N/A</v>
      </c>
      <c r="D157" s="36" t="s">
        <v>49</v>
      </c>
      <c r="E157" s="37"/>
      <c r="F157" s="36"/>
      <c r="G157" s="62"/>
      <c r="H157" s="43"/>
      <c r="I157" s="36"/>
      <c r="J157" s="42"/>
      <c r="K157" s="43" t="s">
        <v>95</v>
      </c>
      <c r="L157" s="44"/>
      <c r="M157" s="45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4">
        <v>157.0</v>
      </c>
      <c r="B158" s="29" t="str">
        <f t="shared" si="1"/>
        <v>-</v>
      </c>
      <c r="C158" s="61" t="str">
        <f>VLOOKUP(B158,Stock!$B$2:$C$193,2,0)</f>
        <v>#N/A</v>
      </c>
      <c r="D158" s="36" t="s">
        <v>49</v>
      </c>
      <c r="E158" s="37"/>
      <c r="F158" s="36"/>
      <c r="G158" s="62"/>
      <c r="H158" s="43"/>
      <c r="I158" s="36"/>
      <c r="J158" s="42"/>
      <c r="K158" s="43" t="s">
        <v>95</v>
      </c>
      <c r="L158" s="44"/>
      <c r="M158" s="45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4">
        <v>158.0</v>
      </c>
      <c r="B159" s="29" t="str">
        <f t="shared" si="1"/>
        <v>-</v>
      </c>
      <c r="C159" s="61" t="str">
        <f>VLOOKUP(B159,Stock!$B$2:$C$193,2,0)</f>
        <v>#N/A</v>
      </c>
      <c r="D159" s="36" t="s">
        <v>49</v>
      </c>
      <c r="E159" s="37"/>
      <c r="F159" s="36"/>
      <c r="G159" s="62"/>
      <c r="H159" s="43"/>
      <c r="I159" s="36"/>
      <c r="J159" s="42"/>
      <c r="K159" s="43" t="s">
        <v>95</v>
      </c>
      <c r="L159" s="44"/>
      <c r="M159" s="45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4">
        <v>159.0</v>
      </c>
      <c r="B160" s="29" t="str">
        <f t="shared" si="1"/>
        <v>-</v>
      </c>
      <c r="C160" s="61" t="str">
        <f>VLOOKUP(B160,Stock!$B$2:$C$193,2,0)</f>
        <v>#N/A</v>
      </c>
      <c r="D160" s="36" t="s">
        <v>49</v>
      </c>
      <c r="E160" s="37"/>
      <c r="F160" s="36"/>
      <c r="G160" s="62"/>
      <c r="H160" s="43"/>
      <c r="I160" s="36"/>
      <c r="J160" s="42"/>
      <c r="K160" s="43" t="s">
        <v>95</v>
      </c>
      <c r="L160" s="44"/>
      <c r="M160" s="45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4">
        <v>160.0</v>
      </c>
      <c r="B161" s="29" t="str">
        <f t="shared" si="1"/>
        <v>-</v>
      </c>
      <c r="C161" s="61" t="str">
        <f>VLOOKUP(B161,Stock!$B$2:$C$193,2,0)</f>
        <v>#N/A</v>
      </c>
      <c r="D161" s="36" t="s">
        <v>49</v>
      </c>
      <c r="E161" s="37"/>
      <c r="F161" s="36"/>
      <c r="G161" s="62"/>
      <c r="H161" s="43"/>
      <c r="I161" s="36"/>
      <c r="J161" s="42"/>
      <c r="K161" s="43" t="s">
        <v>95</v>
      </c>
      <c r="L161" s="44"/>
      <c r="M161" s="45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4">
        <v>161.0</v>
      </c>
      <c r="B162" s="29" t="str">
        <f t="shared" si="1"/>
        <v>-</v>
      </c>
      <c r="C162" s="61" t="str">
        <f>VLOOKUP(B162,Stock!$B$2:$C$193,2,0)</f>
        <v>#N/A</v>
      </c>
      <c r="D162" s="36" t="s">
        <v>49</v>
      </c>
      <c r="E162" s="37"/>
      <c r="F162" s="36"/>
      <c r="G162" s="62"/>
      <c r="H162" s="43"/>
      <c r="I162" s="36"/>
      <c r="J162" s="42"/>
      <c r="K162" s="43" t="s">
        <v>95</v>
      </c>
      <c r="L162" s="44"/>
      <c r="M162" s="45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4">
        <v>162.0</v>
      </c>
      <c r="B163" s="29" t="str">
        <f t="shared" si="1"/>
        <v>-</v>
      </c>
      <c r="C163" s="61" t="str">
        <f>VLOOKUP(B163,Stock!$B$2:$C$193,2,0)</f>
        <v>#N/A</v>
      </c>
      <c r="D163" s="36" t="s">
        <v>49</v>
      </c>
      <c r="E163" s="37"/>
      <c r="F163" s="36"/>
      <c r="G163" s="62"/>
      <c r="H163" s="43"/>
      <c r="I163" s="36"/>
      <c r="J163" s="42"/>
      <c r="K163" s="43" t="s">
        <v>95</v>
      </c>
      <c r="L163" s="44"/>
      <c r="M163" s="45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4">
        <v>163.0</v>
      </c>
      <c r="B164" s="29" t="str">
        <f t="shared" si="1"/>
        <v>-</v>
      </c>
      <c r="C164" s="61" t="str">
        <f>VLOOKUP(B164,Stock!$B$2:$C$193,2,0)</f>
        <v>#N/A</v>
      </c>
      <c r="D164" s="36" t="s">
        <v>49</v>
      </c>
      <c r="E164" s="37"/>
      <c r="F164" s="36"/>
      <c r="G164" s="62"/>
      <c r="H164" s="43"/>
      <c r="I164" s="36"/>
      <c r="J164" s="42"/>
      <c r="K164" s="43" t="s">
        <v>95</v>
      </c>
      <c r="L164" s="44"/>
      <c r="M164" s="45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4">
        <v>164.0</v>
      </c>
      <c r="B165" s="29" t="str">
        <f t="shared" si="1"/>
        <v>-</v>
      </c>
      <c r="C165" s="61" t="str">
        <f>VLOOKUP(B165,Stock!$B$2:$C$193,2,0)</f>
        <v>#N/A</v>
      </c>
      <c r="D165" s="36" t="s">
        <v>49</v>
      </c>
      <c r="E165" s="37"/>
      <c r="F165" s="36"/>
      <c r="G165" s="62"/>
      <c r="H165" s="43"/>
      <c r="I165" s="36"/>
      <c r="J165" s="42"/>
      <c r="K165" s="43" t="s">
        <v>95</v>
      </c>
      <c r="L165" s="44"/>
      <c r="M165" s="45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4">
        <v>165.0</v>
      </c>
      <c r="B166" s="29" t="str">
        <f t="shared" si="1"/>
        <v>-</v>
      </c>
      <c r="C166" s="61" t="str">
        <f>VLOOKUP(B166,Stock!$B$2:$C$193,2,0)</f>
        <v>#N/A</v>
      </c>
      <c r="D166" s="36" t="s">
        <v>49</v>
      </c>
      <c r="E166" s="37"/>
      <c r="F166" s="36"/>
      <c r="G166" s="62"/>
      <c r="H166" s="43"/>
      <c r="I166" s="36"/>
      <c r="J166" s="42"/>
      <c r="K166" s="43" t="s">
        <v>95</v>
      </c>
      <c r="L166" s="44"/>
      <c r="M166" s="45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4">
        <v>166.0</v>
      </c>
      <c r="B167" s="29" t="str">
        <f t="shared" si="1"/>
        <v>-</v>
      </c>
      <c r="C167" s="61" t="str">
        <f>VLOOKUP(B167,Stock!$B$2:$C$193,2,0)</f>
        <v>#N/A</v>
      </c>
      <c r="D167" s="36" t="s">
        <v>49</v>
      </c>
      <c r="E167" s="37"/>
      <c r="F167" s="36"/>
      <c r="G167" s="62"/>
      <c r="H167" s="43"/>
      <c r="I167" s="36"/>
      <c r="J167" s="42"/>
      <c r="K167" s="43" t="s">
        <v>95</v>
      </c>
      <c r="L167" s="44"/>
      <c r="M167" s="45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4">
        <v>167.0</v>
      </c>
      <c r="B168" s="29" t="str">
        <f t="shared" si="1"/>
        <v>-</v>
      </c>
      <c r="C168" s="61" t="str">
        <f>VLOOKUP(B168,Stock!$B$2:$C$193,2,0)</f>
        <v>#N/A</v>
      </c>
      <c r="D168" s="36" t="s">
        <v>49</v>
      </c>
      <c r="E168" s="37"/>
      <c r="F168" s="36"/>
      <c r="G168" s="62"/>
      <c r="H168" s="43"/>
      <c r="I168" s="36"/>
      <c r="J168" s="42"/>
      <c r="K168" s="43" t="s">
        <v>95</v>
      </c>
      <c r="L168" s="44"/>
      <c r="M168" s="45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4">
        <v>168.0</v>
      </c>
      <c r="B169" s="29" t="str">
        <f t="shared" si="1"/>
        <v>-</v>
      </c>
      <c r="C169" s="61" t="str">
        <f>VLOOKUP(B169,Stock!$B$2:$C$193,2,0)</f>
        <v>#N/A</v>
      </c>
      <c r="D169" s="36" t="s">
        <v>49</v>
      </c>
      <c r="E169" s="37"/>
      <c r="F169" s="36"/>
      <c r="G169" s="62"/>
      <c r="H169" s="43"/>
      <c r="I169" s="36"/>
      <c r="J169" s="42"/>
      <c r="K169" s="43" t="s">
        <v>95</v>
      </c>
      <c r="L169" s="44"/>
      <c r="M169" s="45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4">
        <v>169.0</v>
      </c>
      <c r="B170" s="29" t="str">
        <f t="shared" si="1"/>
        <v>-</v>
      </c>
      <c r="C170" s="61" t="str">
        <f>VLOOKUP(B170,Stock!$B$2:$C$193,2,0)</f>
        <v>#N/A</v>
      </c>
      <c r="D170" s="36" t="s">
        <v>49</v>
      </c>
      <c r="E170" s="37"/>
      <c r="F170" s="36"/>
      <c r="G170" s="62"/>
      <c r="H170" s="43"/>
      <c r="I170" s="36"/>
      <c r="J170" s="42"/>
      <c r="K170" s="43" t="s">
        <v>95</v>
      </c>
      <c r="L170" s="44"/>
      <c r="M170" s="45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4">
        <v>170.0</v>
      </c>
      <c r="B171" s="29" t="str">
        <f t="shared" si="1"/>
        <v>-</v>
      </c>
      <c r="C171" s="61" t="str">
        <f>VLOOKUP(B171,Stock!$B$2:$C$193,2,0)</f>
        <v>#N/A</v>
      </c>
      <c r="D171" s="36" t="s">
        <v>49</v>
      </c>
      <c r="E171" s="37"/>
      <c r="F171" s="36"/>
      <c r="G171" s="62"/>
      <c r="H171" s="43"/>
      <c r="I171" s="36"/>
      <c r="J171" s="42"/>
      <c r="K171" s="43" t="s">
        <v>95</v>
      </c>
      <c r="L171" s="44"/>
      <c r="M171" s="45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4">
        <v>171.0</v>
      </c>
      <c r="B172" s="29" t="str">
        <f t="shared" si="1"/>
        <v>-</v>
      </c>
      <c r="C172" s="61" t="str">
        <f>VLOOKUP(B172,Stock!$B$2:$C$193,2,0)</f>
        <v>#N/A</v>
      </c>
      <c r="D172" s="36" t="s">
        <v>49</v>
      </c>
      <c r="E172" s="37"/>
      <c r="F172" s="36"/>
      <c r="G172" s="62"/>
      <c r="H172" s="43"/>
      <c r="I172" s="36"/>
      <c r="J172" s="42"/>
      <c r="K172" s="43" t="s">
        <v>95</v>
      </c>
      <c r="L172" s="44"/>
      <c r="M172" s="45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4">
        <v>172.0</v>
      </c>
      <c r="B173" s="29" t="str">
        <f t="shared" si="1"/>
        <v>-</v>
      </c>
      <c r="C173" s="61" t="str">
        <f>VLOOKUP(B173,Stock!$B$2:$C$193,2,0)</f>
        <v>#N/A</v>
      </c>
      <c r="D173" s="36" t="s">
        <v>49</v>
      </c>
      <c r="E173" s="37"/>
      <c r="F173" s="36"/>
      <c r="G173" s="62"/>
      <c r="H173" s="43"/>
      <c r="I173" s="36"/>
      <c r="J173" s="42"/>
      <c r="K173" s="43" t="s">
        <v>95</v>
      </c>
      <c r="L173" s="44"/>
      <c r="M173" s="45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4">
        <v>173.0</v>
      </c>
      <c r="B174" s="29" t="str">
        <f t="shared" si="1"/>
        <v>-</v>
      </c>
      <c r="C174" s="61" t="str">
        <f>VLOOKUP(B174,Stock!$B$2:$C$193,2,0)</f>
        <v>#N/A</v>
      </c>
      <c r="D174" s="36" t="s">
        <v>49</v>
      </c>
      <c r="E174" s="37"/>
      <c r="F174" s="36"/>
      <c r="G174" s="62"/>
      <c r="H174" s="43"/>
      <c r="I174" s="36"/>
      <c r="J174" s="42"/>
      <c r="K174" s="43" t="s">
        <v>95</v>
      </c>
      <c r="L174" s="44"/>
      <c r="M174" s="45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4">
        <v>174.0</v>
      </c>
      <c r="B175" s="29" t="str">
        <f t="shared" si="1"/>
        <v>-</v>
      </c>
      <c r="C175" s="61" t="str">
        <f>VLOOKUP(B175,Stock!$B$2:$C$193,2,0)</f>
        <v>#N/A</v>
      </c>
      <c r="D175" s="36" t="s">
        <v>49</v>
      </c>
      <c r="E175" s="37"/>
      <c r="F175" s="36"/>
      <c r="G175" s="62"/>
      <c r="H175" s="43"/>
      <c r="I175" s="36"/>
      <c r="J175" s="42"/>
      <c r="K175" s="43" t="s">
        <v>95</v>
      </c>
      <c r="L175" s="44"/>
      <c r="M175" s="45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4">
        <v>175.0</v>
      </c>
      <c r="B176" s="29" t="str">
        <f t="shared" si="1"/>
        <v>-</v>
      </c>
      <c r="C176" s="61" t="str">
        <f>VLOOKUP(B176,Stock!$B$2:$C$193,2,0)</f>
        <v>#N/A</v>
      </c>
      <c r="D176" s="36" t="s">
        <v>49</v>
      </c>
      <c r="E176" s="37"/>
      <c r="F176" s="36"/>
      <c r="G176" s="62"/>
      <c r="H176" s="43"/>
      <c r="I176" s="36"/>
      <c r="J176" s="42"/>
      <c r="K176" s="43" t="s">
        <v>95</v>
      </c>
      <c r="L176" s="44"/>
      <c r="M176" s="45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4">
        <v>176.0</v>
      </c>
      <c r="B177" s="29" t="str">
        <f t="shared" si="1"/>
        <v>-</v>
      </c>
      <c r="C177" s="61" t="str">
        <f>VLOOKUP(B177,Stock!$B$2:$C$193,2,0)</f>
        <v>#N/A</v>
      </c>
      <c r="D177" s="36" t="s">
        <v>49</v>
      </c>
      <c r="E177" s="37"/>
      <c r="F177" s="36"/>
      <c r="G177" s="62"/>
      <c r="H177" s="43"/>
      <c r="I177" s="36"/>
      <c r="J177" s="42"/>
      <c r="K177" s="43" t="s">
        <v>95</v>
      </c>
      <c r="L177" s="44"/>
      <c r="M177" s="45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4">
        <v>177.0</v>
      </c>
      <c r="B178" s="29" t="str">
        <f t="shared" si="1"/>
        <v>-</v>
      </c>
      <c r="C178" s="61" t="str">
        <f>VLOOKUP(B178,Stock!$B$2:$C$193,2,0)</f>
        <v>#N/A</v>
      </c>
      <c r="D178" s="36" t="s">
        <v>49</v>
      </c>
      <c r="E178" s="37"/>
      <c r="F178" s="36"/>
      <c r="G178" s="62"/>
      <c r="H178" s="43"/>
      <c r="I178" s="36"/>
      <c r="J178" s="42"/>
      <c r="K178" s="43" t="s">
        <v>95</v>
      </c>
      <c r="L178" s="44"/>
      <c r="M178" s="45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4">
        <v>178.0</v>
      </c>
      <c r="B179" s="29" t="str">
        <f t="shared" si="1"/>
        <v>-</v>
      </c>
      <c r="C179" s="61" t="str">
        <f>VLOOKUP(B179,Stock!$B$2:$C$193,2,0)</f>
        <v>#N/A</v>
      </c>
      <c r="D179" s="36" t="s">
        <v>49</v>
      </c>
      <c r="E179" s="37"/>
      <c r="F179" s="36"/>
      <c r="G179" s="62"/>
      <c r="H179" s="43"/>
      <c r="I179" s="36"/>
      <c r="J179" s="42"/>
      <c r="K179" s="43" t="s">
        <v>95</v>
      </c>
      <c r="L179" s="44"/>
      <c r="M179" s="45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4">
        <v>179.0</v>
      </c>
      <c r="B180" s="29" t="str">
        <f t="shared" si="1"/>
        <v>-</v>
      </c>
      <c r="C180" s="61" t="str">
        <f>VLOOKUP(B180,Stock!$B$2:$C$193,2,0)</f>
        <v>#N/A</v>
      </c>
      <c r="D180" s="36" t="s">
        <v>49</v>
      </c>
      <c r="E180" s="37"/>
      <c r="F180" s="36"/>
      <c r="G180" s="62"/>
      <c r="H180" s="43"/>
      <c r="I180" s="36"/>
      <c r="J180" s="42"/>
      <c r="K180" s="43" t="s">
        <v>95</v>
      </c>
      <c r="L180" s="44"/>
      <c r="M180" s="45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4">
        <v>180.0</v>
      </c>
      <c r="B181" s="29" t="str">
        <f t="shared" si="1"/>
        <v>-</v>
      </c>
      <c r="C181" s="61" t="str">
        <f>VLOOKUP(B181,Stock!$B$2:$C$193,2,0)</f>
        <v>#N/A</v>
      </c>
      <c r="D181" s="36" t="s">
        <v>49</v>
      </c>
      <c r="E181" s="37"/>
      <c r="F181" s="36"/>
      <c r="G181" s="62"/>
      <c r="H181" s="43"/>
      <c r="I181" s="36"/>
      <c r="J181" s="42"/>
      <c r="K181" s="43" t="s">
        <v>95</v>
      </c>
      <c r="L181" s="44"/>
      <c r="M181" s="45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4">
        <v>181.0</v>
      </c>
      <c r="B182" s="29" t="str">
        <f t="shared" si="1"/>
        <v>-</v>
      </c>
      <c r="C182" s="61" t="str">
        <f>VLOOKUP(B182,Stock!$B$2:$C$193,2,0)</f>
        <v>#N/A</v>
      </c>
      <c r="D182" s="36" t="s">
        <v>49</v>
      </c>
      <c r="E182" s="37"/>
      <c r="F182" s="36"/>
      <c r="G182" s="62"/>
      <c r="H182" s="43"/>
      <c r="I182" s="36"/>
      <c r="J182" s="42"/>
      <c r="K182" s="43" t="s">
        <v>95</v>
      </c>
      <c r="L182" s="44"/>
      <c r="M182" s="45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4">
        <v>182.0</v>
      </c>
      <c r="B183" s="29" t="str">
        <f t="shared" si="1"/>
        <v>-</v>
      </c>
      <c r="C183" s="61" t="str">
        <f>VLOOKUP(B183,Stock!$B$2:$C$193,2,0)</f>
        <v>#N/A</v>
      </c>
      <c r="D183" s="36" t="s">
        <v>49</v>
      </c>
      <c r="E183" s="37"/>
      <c r="F183" s="36"/>
      <c r="G183" s="62"/>
      <c r="H183" s="43"/>
      <c r="I183" s="36"/>
      <c r="J183" s="42"/>
      <c r="K183" s="43" t="s">
        <v>95</v>
      </c>
      <c r="L183" s="44"/>
      <c r="M183" s="45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4">
        <v>183.0</v>
      </c>
      <c r="B184" s="29" t="str">
        <f t="shared" si="1"/>
        <v>-</v>
      </c>
      <c r="C184" s="61" t="str">
        <f>VLOOKUP(B184,Stock!$B$2:$C$193,2,0)</f>
        <v>#N/A</v>
      </c>
      <c r="D184" s="36" t="s">
        <v>49</v>
      </c>
      <c r="E184" s="37"/>
      <c r="F184" s="36"/>
      <c r="G184" s="62"/>
      <c r="H184" s="43"/>
      <c r="I184" s="36"/>
      <c r="J184" s="42"/>
      <c r="K184" s="43" t="s">
        <v>95</v>
      </c>
      <c r="L184" s="44"/>
      <c r="M184" s="45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4">
        <v>184.0</v>
      </c>
      <c r="B185" s="29" t="str">
        <f t="shared" si="1"/>
        <v>-</v>
      </c>
      <c r="C185" s="61" t="str">
        <f>VLOOKUP(B185,Stock!$B$2:$C$193,2,0)</f>
        <v>#N/A</v>
      </c>
      <c r="D185" s="36" t="s">
        <v>49</v>
      </c>
      <c r="E185" s="37"/>
      <c r="F185" s="36"/>
      <c r="G185" s="62"/>
      <c r="H185" s="43"/>
      <c r="I185" s="36"/>
      <c r="J185" s="42"/>
      <c r="K185" s="43" t="s">
        <v>95</v>
      </c>
      <c r="L185" s="44"/>
      <c r="M185" s="45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4">
        <v>185.0</v>
      </c>
      <c r="B186" s="29" t="str">
        <f t="shared" si="1"/>
        <v>-</v>
      </c>
      <c r="C186" s="61" t="str">
        <f>VLOOKUP(B186,Stock!$B$2:$C$193,2,0)</f>
        <v>#N/A</v>
      </c>
      <c r="D186" s="36" t="s">
        <v>49</v>
      </c>
      <c r="E186" s="37"/>
      <c r="F186" s="36"/>
      <c r="G186" s="62"/>
      <c r="H186" s="43"/>
      <c r="I186" s="36"/>
      <c r="J186" s="42"/>
      <c r="K186" s="43" t="s">
        <v>95</v>
      </c>
      <c r="L186" s="44"/>
      <c r="M186" s="45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4">
        <v>186.0</v>
      </c>
      <c r="B187" s="29" t="str">
        <f t="shared" si="1"/>
        <v>-</v>
      </c>
      <c r="C187" s="61" t="str">
        <f>VLOOKUP(B187,Stock!$B$2:$C$193,2,0)</f>
        <v>#N/A</v>
      </c>
      <c r="D187" s="36" t="s">
        <v>49</v>
      </c>
      <c r="E187" s="37"/>
      <c r="F187" s="36"/>
      <c r="G187" s="62"/>
      <c r="H187" s="43"/>
      <c r="I187" s="36"/>
      <c r="J187" s="42"/>
      <c r="K187" s="43" t="s">
        <v>95</v>
      </c>
      <c r="L187" s="44"/>
      <c r="M187" s="45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4">
        <v>187.0</v>
      </c>
      <c r="B188" s="29" t="str">
        <f t="shared" si="1"/>
        <v>-</v>
      </c>
      <c r="C188" s="61" t="str">
        <f>VLOOKUP(B188,Stock!$B$2:$C$193,2,0)</f>
        <v>#N/A</v>
      </c>
      <c r="D188" s="36" t="s">
        <v>49</v>
      </c>
      <c r="E188" s="37"/>
      <c r="F188" s="36"/>
      <c r="G188" s="62"/>
      <c r="H188" s="43"/>
      <c r="I188" s="36"/>
      <c r="J188" s="42"/>
      <c r="K188" s="43" t="s">
        <v>95</v>
      </c>
      <c r="L188" s="44"/>
      <c r="M188" s="45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4">
        <v>188.0</v>
      </c>
      <c r="B189" s="29" t="str">
        <f t="shared" si="1"/>
        <v>-</v>
      </c>
      <c r="C189" s="61" t="str">
        <f>VLOOKUP(B189,Stock!$B$2:$C$193,2,0)</f>
        <v>#N/A</v>
      </c>
      <c r="D189" s="36" t="s">
        <v>49</v>
      </c>
      <c r="E189" s="37"/>
      <c r="F189" s="36"/>
      <c r="G189" s="62"/>
      <c r="H189" s="43"/>
      <c r="I189" s="36"/>
      <c r="J189" s="42"/>
      <c r="K189" s="43" t="s">
        <v>95</v>
      </c>
      <c r="L189" s="44"/>
      <c r="M189" s="45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4">
        <v>189.0</v>
      </c>
      <c r="B190" s="29" t="str">
        <f t="shared" si="1"/>
        <v>-</v>
      </c>
      <c r="C190" s="61" t="str">
        <f>VLOOKUP(B190,Stock!$B$2:$C$193,2,0)</f>
        <v>#N/A</v>
      </c>
      <c r="D190" s="36" t="s">
        <v>49</v>
      </c>
      <c r="E190" s="37"/>
      <c r="F190" s="36"/>
      <c r="G190" s="62"/>
      <c r="H190" s="43"/>
      <c r="I190" s="36"/>
      <c r="J190" s="42"/>
      <c r="K190" s="43" t="s">
        <v>95</v>
      </c>
      <c r="L190" s="44"/>
      <c r="M190" s="45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4">
        <v>190.0</v>
      </c>
      <c r="B191" s="29" t="str">
        <f t="shared" si="1"/>
        <v>-</v>
      </c>
      <c r="C191" s="61" t="str">
        <f>VLOOKUP(B191,Stock!$B$2:$C$193,2,0)</f>
        <v>#N/A</v>
      </c>
      <c r="D191" s="36" t="s">
        <v>49</v>
      </c>
      <c r="E191" s="37"/>
      <c r="F191" s="36"/>
      <c r="G191" s="62"/>
      <c r="H191" s="43"/>
      <c r="I191" s="36"/>
      <c r="J191" s="42"/>
      <c r="K191" s="43" t="s">
        <v>95</v>
      </c>
      <c r="L191" s="44"/>
      <c r="M191" s="45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4">
        <v>191.0</v>
      </c>
      <c r="B192" s="29" t="str">
        <f t="shared" si="1"/>
        <v>-</v>
      </c>
      <c r="C192" s="61" t="str">
        <f>VLOOKUP(B192,Stock!$B$2:$C$193,2,0)</f>
        <v>#N/A</v>
      </c>
      <c r="D192" s="36" t="s">
        <v>49</v>
      </c>
      <c r="E192" s="37"/>
      <c r="F192" s="36"/>
      <c r="G192" s="62"/>
      <c r="H192" s="43"/>
      <c r="I192" s="36"/>
      <c r="J192" s="42"/>
      <c r="K192" s="43" t="s">
        <v>95</v>
      </c>
      <c r="L192" s="44"/>
      <c r="M192" s="45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4">
        <v>192.0</v>
      </c>
      <c r="B193" s="29" t="str">
        <f t="shared" si="1"/>
        <v>-</v>
      </c>
      <c r="C193" s="61" t="str">
        <f>VLOOKUP(B193,Stock!$B$2:$C$193,2,0)</f>
        <v>#N/A</v>
      </c>
      <c r="D193" s="36" t="s">
        <v>49</v>
      </c>
      <c r="E193" s="37"/>
      <c r="F193" s="36"/>
      <c r="G193" s="62"/>
      <c r="H193" s="43"/>
      <c r="I193" s="36"/>
      <c r="J193" s="42"/>
      <c r="K193" s="43" t="s">
        <v>95</v>
      </c>
      <c r="L193" s="44"/>
      <c r="M193" s="45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4">
        <v>193.0</v>
      </c>
      <c r="B194" s="29" t="str">
        <f t="shared" si="1"/>
        <v>-</v>
      </c>
      <c r="C194" s="61" t="str">
        <f>VLOOKUP(B194,Stock!$B$2:$C$193,2,0)</f>
        <v>#N/A</v>
      </c>
      <c r="D194" s="36" t="s">
        <v>49</v>
      </c>
      <c r="E194" s="37"/>
      <c r="F194" s="36"/>
      <c r="G194" s="62"/>
      <c r="H194" s="43"/>
      <c r="I194" s="36"/>
      <c r="J194" s="42"/>
      <c r="K194" s="43" t="s">
        <v>95</v>
      </c>
      <c r="L194" s="44"/>
      <c r="M194" s="45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4">
        <v>194.0</v>
      </c>
      <c r="B195" s="29" t="str">
        <f t="shared" si="1"/>
        <v>-</v>
      </c>
      <c r="C195" s="61" t="str">
        <f>VLOOKUP(B195,Stock!$B$2:$C$193,2,0)</f>
        <v>#N/A</v>
      </c>
      <c r="D195" s="36" t="s">
        <v>49</v>
      </c>
      <c r="E195" s="37"/>
      <c r="F195" s="36"/>
      <c r="G195" s="62"/>
      <c r="H195" s="43"/>
      <c r="I195" s="36"/>
      <c r="J195" s="42"/>
      <c r="K195" s="43" t="s">
        <v>95</v>
      </c>
      <c r="L195" s="44"/>
      <c r="M195" s="45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4">
        <v>195.0</v>
      </c>
      <c r="B196" s="29" t="str">
        <f t="shared" si="1"/>
        <v>-</v>
      </c>
      <c r="C196" s="61" t="str">
        <f>VLOOKUP(B196,Stock!$B$2:$C$193,2,0)</f>
        <v>#N/A</v>
      </c>
      <c r="D196" s="36" t="s">
        <v>49</v>
      </c>
      <c r="E196" s="37"/>
      <c r="F196" s="36"/>
      <c r="G196" s="62"/>
      <c r="H196" s="43"/>
      <c r="I196" s="36"/>
      <c r="J196" s="42"/>
      <c r="K196" s="43" t="s">
        <v>95</v>
      </c>
      <c r="L196" s="44"/>
      <c r="M196" s="45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4">
        <v>196.0</v>
      </c>
      <c r="B197" s="29" t="str">
        <f t="shared" si="1"/>
        <v>-</v>
      </c>
      <c r="C197" s="61" t="str">
        <f>VLOOKUP(B197,Stock!$B$2:$C$193,2,0)</f>
        <v>#N/A</v>
      </c>
      <c r="D197" s="36" t="s">
        <v>49</v>
      </c>
      <c r="E197" s="37"/>
      <c r="F197" s="36"/>
      <c r="G197" s="62"/>
      <c r="H197" s="43"/>
      <c r="I197" s="36"/>
      <c r="J197" s="42"/>
      <c r="K197" s="43" t="s">
        <v>95</v>
      </c>
      <c r="L197" s="44"/>
      <c r="M197" s="45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4">
        <v>197.0</v>
      </c>
      <c r="B198" s="29" t="str">
        <f t="shared" si="1"/>
        <v>-</v>
      </c>
      <c r="C198" s="61" t="str">
        <f>VLOOKUP(B198,Stock!$B$2:$C$193,2,0)</f>
        <v>#N/A</v>
      </c>
      <c r="D198" s="36" t="s">
        <v>49</v>
      </c>
      <c r="E198" s="37"/>
      <c r="F198" s="36"/>
      <c r="G198" s="62"/>
      <c r="H198" s="43"/>
      <c r="I198" s="36"/>
      <c r="J198" s="42"/>
      <c r="K198" s="43" t="s">
        <v>95</v>
      </c>
      <c r="L198" s="44"/>
      <c r="M198" s="45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4">
        <v>198.0</v>
      </c>
      <c r="B199" s="29" t="str">
        <f t="shared" si="1"/>
        <v>-</v>
      </c>
      <c r="C199" s="61" t="str">
        <f>VLOOKUP(B199,Stock!$B$2:$C$193,2,0)</f>
        <v>#N/A</v>
      </c>
      <c r="D199" s="36" t="s">
        <v>49</v>
      </c>
      <c r="E199" s="37"/>
      <c r="F199" s="36"/>
      <c r="G199" s="62"/>
      <c r="H199" s="43"/>
      <c r="I199" s="36"/>
      <c r="J199" s="42"/>
      <c r="K199" s="43" t="s">
        <v>95</v>
      </c>
      <c r="L199" s="44"/>
      <c r="M199" s="45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4">
        <v>199.0</v>
      </c>
      <c r="B200" s="29" t="str">
        <f t="shared" si="1"/>
        <v>-</v>
      </c>
      <c r="C200" s="61" t="str">
        <f>VLOOKUP(B200,Stock!$B$2:$C$193,2,0)</f>
        <v>#N/A</v>
      </c>
      <c r="D200" s="36" t="s">
        <v>49</v>
      </c>
      <c r="E200" s="37"/>
      <c r="F200" s="36"/>
      <c r="G200" s="62"/>
      <c r="H200" s="43"/>
      <c r="I200" s="36"/>
      <c r="J200" s="42"/>
      <c r="K200" s="43" t="s">
        <v>95</v>
      </c>
      <c r="L200" s="44"/>
      <c r="M200" s="45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4">
        <v>200.0</v>
      </c>
      <c r="B201" s="29" t="str">
        <f t="shared" si="1"/>
        <v>-</v>
      </c>
      <c r="C201" s="61" t="str">
        <f>VLOOKUP(B201,Stock!$B$2:$C$193,2,0)</f>
        <v>#N/A</v>
      </c>
      <c r="D201" s="36" t="s">
        <v>49</v>
      </c>
      <c r="E201" s="37"/>
      <c r="F201" s="36"/>
      <c r="G201" s="62"/>
      <c r="H201" s="43"/>
      <c r="I201" s="36"/>
      <c r="J201" s="42"/>
      <c r="K201" s="43" t="s">
        <v>95</v>
      </c>
      <c r="L201" s="44"/>
      <c r="M201" s="45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4">
        <v>201.0</v>
      </c>
      <c r="B202" s="29" t="str">
        <f t="shared" si="1"/>
        <v>-</v>
      </c>
      <c r="C202" s="61" t="str">
        <f>VLOOKUP(B202,Stock!$B$2:$C$193,2,0)</f>
        <v>#N/A</v>
      </c>
      <c r="D202" s="36" t="s">
        <v>49</v>
      </c>
      <c r="E202" s="37"/>
      <c r="F202" s="36"/>
      <c r="G202" s="62"/>
      <c r="H202" s="43"/>
      <c r="I202" s="36"/>
      <c r="J202" s="42"/>
      <c r="K202" s="43" t="s">
        <v>95</v>
      </c>
      <c r="L202" s="44"/>
      <c r="M202" s="45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4">
        <v>202.0</v>
      </c>
      <c r="B203" s="29" t="str">
        <f t="shared" si="1"/>
        <v>-</v>
      </c>
      <c r="C203" s="61" t="str">
        <f>VLOOKUP(B203,Stock!$B$2:$C$193,2,0)</f>
        <v>#N/A</v>
      </c>
      <c r="D203" s="36" t="s">
        <v>49</v>
      </c>
      <c r="E203" s="37"/>
      <c r="F203" s="36"/>
      <c r="G203" s="62"/>
      <c r="H203" s="43"/>
      <c r="I203" s="36"/>
      <c r="J203" s="42"/>
      <c r="K203" s="43" t="s">
        <v>95</v>
      </c>
      <c r="L203" s="44"/>
      <c r="M203" s="45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4">
        <v>203.0</v>
      </c>
      <c r="B204" s="29" t="str">
        <f t="shared" si="1"/>
        <v>-</v>
      </c>
      <c r="C204" s="61" t="str">
        <f>VLOOKUP(B204,Stock!$B$2:$C$193,2,0)</f>
        <v>#N/A</v>
      </c>
      <c r="D204" s="36" t="s">
        <v>49</v>
      </c>
      <c r="E204" s="37"/>
      <c r="F204" s="36"/>
      <c r="G204" s="62"/>
      <c r="H204" s="43"/>
      <c r="I204" s="36"/>
      <c r="J204" s="42"/>
      <c r="K204" s="43" t="s">
        <v>95</v>
      </c>
      <c r="L204" s="44"/>
      <c r="M204" s="45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4">
        <v>204.0</v>
      </c>
      <c r="B205" s="29" t="str">
        <f t="shared" si="1"/>
        <v>-</v>
      </c>
      <c r="C205" s="61" t="str">
        <f>VLOOKUP(B205,Stock!$B$2:$C$193,2,0)</f>
        <v>#N/A</v>
      </c>
      <c r="D205" s="36" t="s">
        <v>49</v>
      </c>
      <c r="E205" s="37"/>
      <c r="F205" s="36"/>
      <c r="G205" s="62"/>
      <c r="H205" s="43"/>
      <c r="I205" s="36"/>
      <c r="J205" s="42"/>
      <c r="K205" s="43" t="s">
        <v>95</v>
      </c>
      <c r="L205" s="44"/>
      <c r="M205" s="45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4">
        <v>205.0</v>
      </c>
      <c r="B206" s="29" t="str">
        <f t="shared" si="1"/>
        <v>-</v>
      </c>
      <c r="C206" s="61" t="str">
        <f>VLOOKUP(B206,Stock!$B$2:$C$193,2,0)</f>
        <v>#N/A</v>
      </c>
      <c r="D206" s="36" t="s">
        <v>49</v>
      </c>
      <c r="E206" s="37"/>
      <c r="F206" s="36"/>
      <c r="G206" s="62"/>
      <c r="H206" s="43"/>
      <c r="I206" s="36"/>
      <c r="J206" s="42"/>
      <c r="K206" s="43" t="s">
        <v>95</v>
      </c>
      <c r="L206" s="44"/>
      <c r="M206" s="45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4">
        <v>206.0</v>
      </c>
      <c r="B207" s="29" t="str">
        <f t="shared" si="1"/>
        <v>-</v>
      </c>
      <c r="C207" s="61" t="str">
        <f>VLOOKUP(B207,Stock!$B$2:$C$193,2,0)</f>
        <v>#N/A</v>
      </c>
      <c r="D207" s="36" t="s">
        <v>49</v>
      </c>
      <c r="E207" s="37"/>
      <c r="F207" s="36"/>
      <c r="G207" s="62"/>
      <c r="H207" s="43"/>
      <c r="I207" s="36"/>
      <c r="J207" s="42"/>
      <c r="K207" s="43" t="s">
        <v>95</v>
      </c>
      <c r="L207" s="44"/>
      <c r="M207" s="45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4">
        <v>207.0</v>
      </c>
      <c r="B208" s="29" t="str">
        <f t="shared" si="1"/>
        <v>-</v>
      </c>
      <c r="C208" s="61" t="str">
        <f>VLOOKUP(B208,Stock!$B$2:$C$193,2,0)</f>
        <v>#N/A</v>
      </c>
      <c r="D208" s="36" t="s">
        <v>49</v>
      </c>
      <c r="E208" s="36" t="s">
        <v>721</v>
      </c>
      <c r="F208" s="36"/>
      <c r="G208" s="62"/>
      <c r="H208" s="43"/>
      <c r="I208" s="36"/>
      <c r="J208" s="42"/>
      <c r="K208" s="43" t="s">
        <v>95</v>
      </c>
      <c r="L208" s="44"/>
      <c r="M208" s="45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4">
        <v>208.0</v>
      </c>
      <c r="B209" s="29" t="str">
        <f t="shared" si="1"/>
        <v>-</v>
      </c>
      <c r="C209" s="61" t="str">
        <f>VLOOKUP(B209,Stock!$B$2:$C$193,2,0)</f>
        <v>#N/A</v>
      </c>
      <c r="D209" s="36" t="s">
        <v>49</v>
      </c>
      <c r="E209" s="36" t="str">
        <f>vlookup(B209,'2024'!$A$1:$D$134,4,0)</f>
        <v/>
      </c>
      <c r="F209" s="36"/>
      <c r="G209" s="62"/>
      <c r="H209" s="43"/>
      <c r="I209" s="36"/>
      <c r="J209" s="42"/>
      <c r="K209" s="43" t="s">
        <v>95</v>
      </c>
      <c r="L209" s="44"/>
      <c r="M209" s="45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73"/>
      <c r="H210" s="22"/>
      <c r="I210" s="22"/>
      <c r="J210" s="22"/>
      <c r="K210" s="22"/>
      <c r="L210" s="74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73"/>
      <c r="H211" s="22"/>
      <c r="I211" s="22"/>
      <c r="J211" s="22"/>
      <c r="K211" s="22"/>
      <c r="L211" s="74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73"/>
      <c r="H212" s="22"/>
      <c r="I212" s="22"/>
      <c r="J212" s="22"/>
      <c r="K212" s="22"/>
      <c r="L212" s="74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73"/>
      <c r="H213" s="22"/>
      <c r="I213" s="22"/>
      <c r="J213" s="22"/>
      <c r="K213" s="22"/>
      <c r="L213" s="74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73"/>
      <c r="H214" s="22"/>
      <c r="I214" s="22"/>
      <c r="J214" s="22"/>
      <c r="K214" s="22"/>
      <c r="L214" s="74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73"/>
      <c r="H215" s="22"/>
      <c r="I215" s="22"/>
      <c r="J215" s="22"/>
      <c r="K215" s="22"/>
      <c r="L215" s="74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73"/>
      <c r="H216" s="22"/>
      <c r="I216" s="22"/>
      <c r="J216" s="22"/>
      <c r="K216" s="22"/>
      <c r="L216" s="74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73"/>
      <c r="H217" s="22"/>
      <c r="I217" s="22"/>
      <c r="J217" s="22"/>
      <c r="K217" s="22"/>
      <c r="L217" s="74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73"/>
      <c r="H218" s="22"/>
      <c r="I218" s="22"/>
      <c r="J218" s="22"/>
      <c r="K218" s="22"/>
      <c r="L218" s="74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73"/>
      <c r="H219" s="22"/>
      <c r="I219" s="22"/>
      <c r="J219" s="22"/>
      <c r="K219" s="22"/>
      <c r="L219" s="74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73"/>
      <c r="H220" s="22"/>
      <c r="I220" s="22"/>
      <c r="J220" s="22"/>
      <c r="K220" s="22"/>
      <c r="L220" s="74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73"/>
      <c r="H221" s="22"/>
      <c r="I221" s="22"/>
      <c r="J221" s="22"/>
      <c r="K221" s="22"/>
      <c r="L221" s="74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73"/>
      <c r="H222" s="22"/>
      <c r="I222" s="22"/>
      <c r="J222" s="22"/>
      <c r="K222" s="22"/>
      <c r="L222" s="74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73"/>
      <c r="H223" s="22"/>
      <c r="I223" s="22"/>
      <c r="J223" s="22"/>
      <c r="K223" s="22"/>
      <c r="L223" s="74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73"/>
      <c r="H224" s="22"/>
      <c r="I224" s="22"/>
      <c r="J224" s="22"/>
      <c r="K224" s="22"/>
      <c r="L224" s="74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73"/>
      <c r="H225" s="22"/>
      <c r="I225" s="22"/>
      <c r="J225" s="22"/>
      <c r="K225" s="22"/>
      <c r="L225" s="74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73"/>
      <c r="H226" s="22"/>
      <c r="I226" s="22"/>
      <c r="J226" s="22"/>
      <c r="K226" s="22"/>
      <c r="L226" s="74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73"/>
      <c r="H227" s="22"/>
      <c r="I227" s="22"/>
      <c r="J227" s="22"/>
      <c r="K227" s="22"/>
      <c r="L227" s="74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73"/>
      <c r="H228" s="22"/>
      <c r="I228" s="22"/>
      <c r="J228" s="22"/>
      <c r="K228" s="22"/>
      <c r="L228" s="74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73"/>
      <c r="H229" s="22"/>
      <c r="I229" s="22"/>
      <c r="J229" s="22"/>
      <c r="K229" s="22"/>
      <c r="L229" s="74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73"/>
      <c r="H230" s="22"/>
      <c r="I230" s="22"/>
      <c r="J230" s="22"/>
      <c r="K230" s="22"/>
      <c r="L230" s="74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73"/>
      <c r="H231" s="22"/>
      <c r="I231" s="22"/>
      <c r="J231" s="22"/>
      <c r="K231" s="22"/>
      <c r="L231" s="74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73"/>
      <c r="H232" s="22"/>
      <c r="I232" s="22"/>
      <c r="J232" s="22"/>
      <c r="K232" s="22"/>
      <c r="L232" s="74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73"/>
      <c r="H233" s="22"/>
      <c r="I233" s="22"/>
      <c r="J233" s="22"/>
      <c r="K233" s="22"/>
      <c r="L233" s="74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73"/>
      <c r="H234" s="22"/>
      <c r="I234" s="22"/>
      <c r="J234" s="22"/>
      <c r="K234" s="22"/>
      <c r="L234" s="74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73"/>
      <c r="H235" s="22"/>
      <c r="I235" s="22"/>
      <c r="J235" s="22"/>
      <c r="K235" s="22"/>
      <c r="L235" s="74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73"/>
      <c r="H236" s="22"/>
      <c r="I236" s="22"/>
      <c r="J236" s="22"/>
      <c r="K236" s="22"/>
      <c r="L236" s="74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73"/>
      <c r="H237" s="22"/>
      <c r="I237" s="22"/>
      <c r="J237" s="22"/>
      <c r="K237" s="22"/>
      <c r="L237" s="74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73"/>
      <c r="H238" s="22"/>
      <c r="I238" s="22"/>
      <c r="J238" s="22"/>
      <c r="K238" s="22"/>
      <c r="L238" s="74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73"/>
      <c r="H239" s="22"/>
      <c r="I239" s="22"/>
      <c r="J239" s="22"/>
      <c r="K239" s="22"/>
      <c r="L239" s="74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73"/>
      <c r="H240" s="22"/>
      <c r="I240" s="22"/>
      <c r="J240" s="22"/>
      <c r="K240" s="22"/>
      <c r="L240" s="74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73"/>
      <c r="H241" s="22"/>
      <c r="I241" s="22"/>
      <c r="J241" s="22"/>
      <c r="K241" s="22"/>
      <c r="L241" s="74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73"/>
      <c r="H242" s="22"/>
      <c r="I242" s="22"/>
      <c r="J242" s="22"/>
      <c r="K242" s="22"/>
      <c r="L242" s="74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73"/>
      <c r="H243" s="22"/>
      <c r="I243" s="22"/>
      <c r="J243" s="22"/>
      <c r="K243" s="22"/>
      <c r="L243" s="74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73"/>
      <c r="H244" s="22"/>
      <c r="I244" s="22"/>
      <c r="J244" s="22"/>
      <c r="K244" s="22"/>
      <c r="L244" s="74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73"/>
      <c r="H245" s="22"/>
      <c r="I245" s="22"/>
      <c r="J245" s="22"/>
      <c r="K245" s="22"/>
      <c r="L245" s="74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73"/>
      <c r="H246" s="22"/>
      <c r="I246" s="22"/>
      <c r="J246" s="22"/>
      <c r="K246" s="22"/>
      <c r="L246" s="74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73"/>
      <c r="H247" s="22"/>
      <c r="I247" s="22"/>
      <c r="J247" s="22"/>
      <c r="K247" s="22"/>
      <c r="L247" s="74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73"/>
      <c r="H248" s="22"/>
      <c r="I248" s="22"/>
      <c r="J248" s="22"/>
      <c r="K248" s="22"/>
      <c r="L248" s="74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73"/>
      <c r="H249" s="22"/>
      <c r="I249" s="22"/>
      <c r="J249" s="22"/>
      <c r="K249" s="22"/>
      <c r="L249" s="74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73"/>
      <c r="H250" s="22"/>
      <c r="I250" s="22"/>
      <c r="J250" s="22"/>
      <c r="K250" s="22"/>
      <c r="L250" s="74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73"/>
      <c r="H251" s="22"/>
      <c r="I251" s="22"/>
      <c r="J251" s="22"/>
      <c r="K251" s="22"/>
      <c r="L251" s="74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73"/>
      <c r="H252" s="22"/>
      <c r="I252" s="22"/>
      <c r="J252" s="22"/>
      <c r="K252" s="22"/>
      <c r="L252" s="74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73"/>
      <c r="H253" s="22"/>
      <c r="I253" s="22"/>
      <c r="J253" s="22"/>
      <c r="K253" s="22"/>
      <c r="L253" s="74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73"/>
      <c r="H254" s="22"/>
      <c r="I254" s="22"/>
      <c r="J254" s="22"/>
      <c r="K254" s="22"/>
      <c r="L254" s="74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73"/>
      <c r="H255" s="22"/>
      <c r="I255" s="22"/>
      <c r="J255" s="22"/>
      <c r="K255" s="22"/>
      <c r="L255" s="74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73"/>
      <c r="H256" s="22"/>
      <c r="I256" s="22"/>
      <c r="J256" s="22"/>
      <c r="K256" s="22"/>
      <c r="L256" s="74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73"/>
      <c r="H257" s="22"/>
      <c r="I257" s="22"/>
      <c r="J257" s="22"/>
      <c r="K257" s="22"/>
      <c r="L257" s="74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73"/>
      <c r="H258" s="22"/>
      <c r="I258" s="22"/>
      <c r="J258" s="22"/>
      <c r="K258" s="22"/>
      <c r="L258" s="74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73"/>
      <c r="H259" s="22"/>
      <c r="I259" s="22"/>
      <c r="J259" s="22"/>
      <c r="K259" s="22"/>
      <c r="L259" s="74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73"/>
      <c r="H260" s="22"/>
      <c r="I260" s="22"/>
      <c r="J260" s="22"/>
      <c r="K260" s="22"/>
      <c r="L260" s="74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73"/>
      <c r="H261" s="22"/>
      <c r="I261" s="22"/>
      <c r="J261" s="22"/>
      <c r="K261" s="22"/>
      <c r="L261" s="74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73"/>
      <c r="H262" s="22"/>
      <c r="I262" s="22"/>
      <c r="J262" s="22"/>
      <c r="K262" s="22"/>
      <c r="L262" s="74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73"/>
      <c r="H263" s="22"/>
      <c r="I263" s="22"/>
      <c r="J263" s="22"/>
      <c r="K263" s="22"/>
      <c r="L263" s="74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73"/>
      <c r="H264" s="22"/>
      <c r="I264" s="22"/>
      <c r="J264" s="22"/>
      <c r="K264" s="22"/>
      <c r="L264" s="74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73"/>
      <c r="H265" s="22"/>
      <c r="I265" s="22"/>
      <c r="J265" s="22"/>
      <c r="K265" s="22"/>
      <c r="L265" s="74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73"/>
      <c r="H266" s="22"/>
      <c r="I266" s="22"/>
      <c r="J266" s="22"/>
      <c r="K266" s="22"/>
      <c r="L266" s="74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73"/>
      <c r="H267" s="22"/>
      <c r="I267" s="22"/>
      <c r="J267" s="22"/>
      <c r="K267" s="22"/>
      <c r="L267" s="74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73"/>
      <c r="H268" s="22"/>
      <c r="I268" s="22"/>
      <c r="J268" s="22"/>
      <c r="K268" s="22"/>
      <c r="L268" s="74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73"/>
      <c r="H269" s="22"/>
      <c r="I269" s="22"/>
      <c r="J269" s="22"/>
      <c r="K269" s="22"/>
      <c r="L269" s="74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73"/>
      <c r="H270" s="22"/>
      <c r="I270" s="22"/>
      <c r="J270" s="22"/>
      <c r="K270" s="22"/>
      <c r="L270" s="74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73"/>
      <c r="H271" s="22"/>
      <c r="I271" s="22"/>
      <c r="J271" s="22"/>
      <c r="K271" s="22"/>
      <c r="L271" s="74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73"/>
      <c r="H272" s="22"/>
      <c r="I272" s="22"/>
      <c r="J272" s="22"/>
      <c r="K272" s="22"/>
      <c r="L272" s="74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73"/>
      <c r="H273" s="22"/>
      <c r="I273" s="22"/>
      <c r="J273" s="22"/>
      <c r="K273" s="22"/>
      <c r="L273" s="74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73"/>
      <c r="H274" s="22"/>
      <c r="I274" s="22"/>
      <c r="J274" s="22"/>
      <c r="K274" s="22"/>
      <c r="L274" s="74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73"/>
      <c r="H275" s="22"/>
      <c r="I275" s="22"/>
      <c r="J275" s="22"/>
      <c r="K275" s="22"/>
      <c r="L275" s="74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73"/>
      <c r="H276" s="22"/>
      <c r="I276" s="22"/>
      <c r="J276" s="22"/>
      <c r="K276" s="22"/>
      <c r="L276" s="74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73"/>
      <c r="H277" s="22"/>
      <c r="I277" s="22"/>
      <c r="J277" s="22"/>
      <c r="K277" s="22"/>
      <c r="L277" s="74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73"/>
      <c r="H278" s="22"/>
      <c r="I278" s="22"/>
      <c r="J278" s="22"/>
      <c r="K278" s="22"/>
      <c r="L278" s="74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73"/>
      <c r="H279" s="22"/>
      <c r="I279" s="22"/>
      <c r="J279" s="22"/>
      <c r="K279" s="22"/>
      <c r="L279" s="74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73"/>
      <c r="H280" s="22"/>
      <c r="I280" s="22"/>
      <c r="J280" s="22"/>
      <c r="K280" s="22"/>
      <c r="L280" s="74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73"/>
      <c r="H281" s="22"/>
      <c r="I281" s="22"/>
      <c r="J281" s="22"/>
      <c r="K281" s="22"/>
      <c r="L281" s="74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73"/>
      <c r="H282" s="22"/>
      <c r="I282" s="22"/>
      <c r="J282" s="22"/>
      <c r="K282" s="22"/>
      <c r="L282" s="74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73"/>
      <c r="H283" s="22"/>
      <c r="I283" s="22"/>
      <c r="J283" s="22"/>
      <c r="K283" s="22"/>
      <c r="L283" s="74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73"/>
      <c r="H284" s="22"/>
      <c r="I284" s="22"/>
      <c r="J284" s="22"/>
      <c r="K284" s="22"/>
      <c r="L284" s="74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73"/>
      <c r="H285" s="22"/>
      <c r="I285" s="22"/>
      <c r="J285" s="22"/>
      <c r="K285" s="22"/>
      <c r="L285" s="74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73"/>
      <c r="H286" s="22"/>
      <c r="I286" s="22"/>
      <c r="J286" s="22"/>
      <c r="K286" s="22"/>
      <c r="L286" s="74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73"/>
      <c r="H287" s="22"/>
      <c r="I287" s="22"/>
      <c r="J287" s="22"/>
      <c r="K287" s="22"/>
      <c r="L287" s="74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73"/>
      <c r="H288" s="22"/>
      <c r="I288" s="22"/>
      <c r="J288" s="22"/>
      <c r="K288" s="22"/>
      <c r="L288" s="74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73"/>
      <c r="H289" s="22"/>
      <c r="I289" s="22"/>
      <c r="J289" s="22"/>
      <c r="K289" s="22"/>
      <c r="L289" s="74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73"/>
      <c r="H290" s="22"/>
      <c r="I290" s="22"/>
      <c r="J290" s="22"/>
      <c r="K290" s="22"/>
      <c r="L290" s="74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73"/>
      <c r="H291" s="22"/>
      <c r="I291" s="22"/>
      <c r="J291" s="22"/>
      <c r="K291" s="22"/>
      <c r="L291" s="74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73"/>
      <c r="H292" s="22"/>
      <c r="I292" s="22"/>
      <c r="J292" s="22"/>
      <c r="K292" s="22"/>
      <c r="L292" s="74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73"/>
      <c r="H293" s="22"/>
      <c r="I293" s="22"/>
      <c r="J293" s="22"/>
      <c r="K293" s="22"/>
      <c r="L293" s="74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73"/>
      <c r="H294" s="22"/>
      <c r="I294" s="22"/>
      <c r="J294" s="22"/>
      <c r="K294" s="22"/>
      <c r="L294" s="74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73"/>
      <c r="H295" s="22"/>
      <c r="I295" s="22"/>
      <c r="J295" s="22"/>
      <c r="K295" s="22"/>
      <c r="L295" s="74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73"/>
      <c r="H296" s="22"/>
      <c r="I296" s="22"/>
      <c r="J296" s="22"/>
      <c r="K296" s="22"/>
      <c r="L296" s="74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73"/>
      <c r="H297" s="22"/>
      <c r="I297" s="22"/>
      <c r="J297" s="22"/>
      <c r="K297" s="22"/>
      <c r="L297" s="74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73"/>
      <c r="H298" s="22"/>
      <c r="I298" s="22"/>
      <c r="J298" s="22"/>
      <c r="K298" s="22"/>
      <c r="L298" s="74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73"/>
      <c r="H299" s="22"/>
      <c r="I299" s="22"/>
      <c r="J299" s="22"/>
      <c r="K299" s="22"/>
      <c r="L299" s="74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73"/>
      <c r="H300" s="22"/>
      <c r="I300" s="22"/>
      <c r="J300" s="22"/>
      <c r="K300" s="22"/>
      <c r="L300" s="74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73"/>
      <c r="H301" s="22"/>
      <c r="I301" s="22"/>
      <c r="J301" s="22"/>
      <c r="K301" s="22"/>
      <c r="L301" s="74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73"/>
      <c r="H302" s="22"/>
      <c r="I302" s="22"/>
      <c r="J302" s="22"/>
      <c r="K302" s="22"/>
      <c r="L302" s="74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73"/>
      <c r="H303" s="22"/>
      <c r="I303" s="22"/>
      <c r="J303" s="22"/>
      <c r="K303" s="22"/>
      <c r="L303" s="74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73"/>
      <c r="H304" s="22"/>
      <c r="I304" s="22"/>
      <c r="J304" s="22"/>
      <c r="K304" s="22"/>
      <c r="L304" s="74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73"/>
      <c r="H305" s="22"/>
      <c r="I305" s="22"/>
      <c r="J305" s="22"/>
      <c r="K305" s="22"/>
      <c r="L305" s="74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73"/>
      <c r="H306" s="22"/>
      <c r="I306" s="22"/>
      <c r="J306" s="22"/>
      <c r="K306" s="22"/>
      <c r="L306" s="74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73"/>
      <c r="H307" s="22"/>
      <c r="I307" s="22"/>
      <c r="J307" s="22"/>
      <c r="K307" s="22"/>
      <c r="L307" s="74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73"/>
      <c r="H308" s="22"/>
      <c r="I308" s="22"/>
      <c r="J308" s="22"/>
      <c r="K308" s="22"/>
      <c r="L308" s="74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73"/>
      <c r="H309" s="22"/>
      <c r="I309" s="22"/>
      <c r="J309" s="22"/>
      <c r="K309" s="22"/>
      <c r="L309" s="74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73"/>
      <c r="H310" s="22"/>
      <c r="I310" s="22"/>
      <c r="J310" s="22"/>
      <c r="K310" s="22"/>
      <c r="L310" s="74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73"/>
      <c r="H311" s="22"/>
      <c r="I311" s="22"/>
      <c r="J311" s="22"/>
      <c r="K311" s="22"/>
      <c r="L311" s="74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73"/>
      <c r="H312" s="22"/>
      <c r="I312" s="22"/>
      <c r="J312" s="22"/>
      <c r="K312" s="22"/>
      <c r="L312" s="74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73"/>
      <c r="H313" s="22"/>
      <c r="I313" s="22"/>
      <c r="J313" s="22"/>
      <c r="K313" s="22"/>
      <c r="L313" s="74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73"/>
      <c r="H314" s="22"/>
      <c r="I314" s="22"/>
      <c r="J314" s="22"/>
      <c r="K314" s="22"/>
      <c r="L314" s="74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73"/>
      <c r="H315" s="22"/>
      <c r="I315" s="22"/>
      <c r="J315" s="22"/>
      <c r="K315" s="22"/>
      <c r="L315" s="74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73"/>
      <c r="H316" s="22"/>
      <c r="I316" s="22"/>
      <c r="J316" s="22"/>
      <c r="K316" s="22"/>
      <c r="L316" s="74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73"/>
      <c r="H317" s="22"/>
      <c r="I317" s="22"/>
      <c r="J317" s="22"/>
      <c r="K317" s="22"/>
      <c r="L317" s="74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73"/>
      <c r="H318" s="22"/>
      <c r="I318" s="22"/>
      <c r="J318" s="22"/>
      <c r="K318" s="22"/>
      <c r="L318" s="74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73"/>
      <c r="H319" s="22"/>
      <c r="I319" s="22"/>
      <c r="J319" s="22"/>
      <c r="K319" s="22"/>
      <c r="L319" s="74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73"/>
      <c r="H320" s="22"/>
      <c r="I320" s="22"/>
      <c r="J320" s="22"/>
      <c r="K320" s="22"/>
      <c r="L320" s="74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73"/>
      <c r="H321" s="22"/>
      <c r="I321" s="22"/>
      <c r="J321" s="22"/>
      <c r="K321" s="22"/>
      <c r="L321" s="74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73"/>
      <c r="H322" s="22"/>
      <c r="I322" s="22"/>
      <c r="J322" s="22"/>
      <c r="K322" s="22"/>
      <c r="L322" s="74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73"/>
      <c r="H323" s="22"/>
      <c r="I323" s="22"/>
      <c r="J323" s="22"/>
      <c r="K323" s="22"/>
      <c r="L323" s="74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73"/>
      <c r="H324" s="22"/>
      <c r="I324" s="22"/>
      <c r="J324" s="22"/>
      <c r="K324" s="22"/>
      <c r="L324" s="74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73"/>
      <c r="H325" s="22"/>
      <c r="I325" s="22"/>
      <c r="J325" s="22"/>
      <c r="K325" s="22"/>
      <c r="L325" s="74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73"/>
      <c r="H326" s="22"/>
      <c r="I326" s="22"/>
      <c r="J326" s="22"/>
      <c r="K326" s="22"/>
      <c r="L326" s="74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73"/>
      <c r="H327" s="22"/>
      <c r="I327" s="22"/>
      <c r="J327" s="22"/>
      <c r="K327" s="22"/>
      <c r="L327" s="74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73"/>
      <c r="H328" s="22"/>
      <c r="I328" s="22"/>
      <c r="J328" s="22"/>
      <c r="K328" s="22"/>
      <c r="L328" s="74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73"/>
      <c r="H329" s="22"/>
      <c r="I329" s="22"/>
      <c r="J329" s="22"/>
      <c r="K329" s="22"/>
      <c r="L329" s="74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73"/>
      <c r="H330" s="22"/>
      <c r="I330" s="22"/>
      <c r="J330" s="22"/>
      <c r="K330" s="22"/>
      <c r="L330" s="74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73"/>
      <c r="H331" s="22"/>
      <c r="I331" s="22"/>
      <c r="J331" s="22"/>
      <c r="K331" s="22"/>
      <c r="L331" s="74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73"/>
      <c r="H332" s="22"/>
      <c r="I332" s="22"/>
      <c r="J332" s="22"/>
      <c r="K332" s="22"/>
      <c r="L332" s="74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73"/>
      <c r="H333" s="22"/>
      <c r="I333" s="22"/>
      <c r="J333" s="22"/>
      <c r="K333" s="22"/>
      <c r="L333" s="74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73"/>
      <c r="H334" s="22"/>
      <c r="I334" s="22"/>
      <c r="J334" s="22"/>
      <c r="K334" s="22"/>
      <c r="L334" s="74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73"/>
      <c r="H335" s="22"/>
      <c r="I335" s="22"/>
      <c r="J335" s="22"/>
      <c r="K335" s="22"/>
      <c r="L335" s="74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73"/>
      <c r="H336" s="22"/>
      <c r="I336" s="22"/>
      <c r="J336" s="22"/>
      <c r="K336" s="22"/>
      <c r="L336" s="74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73"/>
      <c r="H337" s="22"/>
      <c r="I337" s="22"/>
      <c r="J337" s="22"/>
      <c r="K337" s="22"/>
      <c r="L337" s="74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73"/>
      <c r="H338" s="22"/>
      <c r="I338" s="22"/>
      <c r="J338" s="22"/>
      <c r="K338" s="22"/>
      <c r="L338" s="74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73"/>
      <c r="H339" s="22"/>
      <c r="I339" s="22"/>
      <c r="J339" s="22"/>
      <c r="K339" s="22"/>
      <c r="L339" s="74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73"/>
      <c r="H340" s="22"/>
      <c r="I340" s="22"/>
      <c r="J340" s="22"/>
      <c r="K340" s="22"/>
      <c r="L340" s="74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73"/>
      <c r="H341" s="22"/>
      <c r="I341" s="22"/>
      <c r="J341" s="22"/>
      <c r="K341" s="22"/>
      <c r="L341" s="74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73"/>
      <c r="H342" s="22"/>
      <c r="I342" s="22"/>
      <c r="J342" s="22"/>
      <c r="K342" s="22"/>
      <c r="L342" s="74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73"/>
      <c r="H343" s="22"/>
      <c r="I343" s="22"/>
      <c r="J343" s="22"/>
      <c r="K343" s="22"/>
      <c r="L343" s="74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73"/>
      <c r="H344" s="22"/>
      <c r="I344" s="22"/>
      <c r="J344" s="22"/>
      <c r="K344" s="22"/>
      <c r="L344" s="74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73"/>
      <c r="H345" s="22"/>
      <c r="I345" s="22"/>
      <c r="J345" s="22"/>
      <c r="K345" s="22"/>
      <c r="L345" s="74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73"/>
      <c r="H346" s="22"/>
      <c r="I346" s="22"/>
      <c r="J346" s="22"/>
      <c r="K346" s="22"/>
      <c r="L346" s="74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73"/>
      <c r="H347" s="22"/>
      <c r="I347" s="22"/>
      <c r="J347" s="22"/>
      <c r="K347" s="22"/>
      <c r="L347" s="74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73"/>
      <c r="H348" s="22"/>
      <c r="I348" s="22"/>
      <c r="J348" s="22"/>
      <c r="K348" s="22"/>
      <c r="L348" s="74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73"/>
      <c r="H349" s="22"/>
      <c r="I349" s="22"/>
      <c r="J349" s="22"/>
      <c r="K349" s="22"/>
      <c r="L349" s="74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73"/>
      <c r="H350" s="22"/>
      <c r="I350" s="22"/>
      <c r="J350" s="22"/>
      <c r="K350" s="22"/>
      <c r="L350" s="74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73"/>
      <c r="H351" s="22"/>
      <c r="I351" s="22"/>
      <c r="J351" s="22"/>
      <c r="K351" s="22"/>
      <c r="L351" s="74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73"/>
      <c r="H352" s="22"/>
      <c r="I352" s="22"/>
      <c r="J352" s="22"/>
      <c r="K352" s="22"/>
      <c r="L352" s="74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73"/>
      <c r="H353" s="22"/>
      <c r="I353" s="22"/>
      <c r="J353" s="22"/>
      <c r="K353" s="22"/>
      <c r="L353" s="74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73"/>
      <c r="H354" s="22"/>
      <c r="I354" s="22"/>
      <c r="J354" s="22"/>
      <c r="K354" s="22"/>
      <c r="L354" s="74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73"/>
      <c r="H355" s="22"/>
      <c r="I355" s="22"/>
      <c r="J355" s="22"/>
      <c r="K355" s="22"/>
      <c r="L355" s="74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73"/>
      <c r="H356" s="22"/>
      <c r="I356" s="22"/>
      <c r="J356" s="22"/>
      <c r="K356" s="22"/>
      <c r="L356" s="74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73"/>
      <c r="H357" s="22"/>
      <c r="I357" s="22"/>
      <c r="J357" s="22"/>
      <c r="K357" s="22"/>
      <c r="L357" s="74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73"/>
      <c r="H358" s="22"/>
      <c r="I358" s="22"/>
      <c r="J358" s="22"/>
      <c r="K358" s="22"/>
      <c r="L358" s="74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73"/>
      <c r="H359" s="22"/>
      <c r="I359" s="22"/>
      <c r="J359" s="22"/>
      <c r="K359" s="22"/>
      <c r="L359" s="74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73"/>
      <c r="H360" s="22"/>
      <c r="I360" s="22"/>
      <c r="J360" s="22"/>
      <c r="K360" s="22"/>
      <c r="L360" s="74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73"/>
      <c r="H361" s="22"/>
      <c r="I361" s="22"/>
      <c r="J361" s="22"/>
      <c r="K361" s="22"/>
      <c r="L361" s="74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73"/>
      <c r="H362" s="22"/>
      <c r="I362" s="22"/>
      <c r="J362" s="22"/>
      <c r="K362" s="22"/>
      <c r="L362" s="74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73"/>
      <c r="H363" s="22"/>
      <c r="I363" s="22"/>
      <c r="J363" s="22"/>
      <c r="K363" s="22"/>
      <c r="L363" s="74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73"/>
      <c r="H364" s="22"/>
      <c r="I364" s="22"/>
      <c r="J364" s="22"/>
      <c r="K364" s="22"/>
      <c r="L364" s="74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73"/>
      <c r="H365" s="22"/>
      <c r="I365" s="22"/>
      <c r="J365" s="22"/>
      <c r="K365" s="22"/>
      <c r="L365" s="74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73"/>
      <c r="H366" s="22"/>
      <c r="I366" s="22"/>
      <c r="J366" s="22"/>
      <c r="K366" s="22"/>
      <c r="L366" s="74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73"/>
      <c r="H367" s="22"/>
      <c r="I367" s="22"/>
      <c r="J367" s="22"/>
      <c r="K367" s="22"/>
      <c r="L367" s="74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73"/>
      <c r="H368" s="22"/>
      <c r="I368" s="22"/>
      <c r="J368" s="22"/>
      <c r="K368" s="22"/>
      <c r="L368" s="74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73"/>
      <c r="H369" s="22"/>
      <c r="I369" s="22"/>
      <c r="J369" s="22"/>
      <c r="K369" s="22"/>
      <c r="L369" s="74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73"/>
      <c r="H370" s="22"/>
      <c r="I370" s="22"/>
      <c r="J370" s="22"/>
      <c r="K370" s="22"/>
      <c r="L370" s="74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73"/>
      <c r="H371" s="22"/>
      <c r="I371" s="22"/>
      <c r="J371" s="22"/>
      <c r="K371" s="22"/>
      <c r="L371" s="74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73"/>
      <c r="H372" s="22"/>
      <c r="I372" s="22"/>
      <c r="J372" s="22"/>
      <c r="K372" s="22"/>
      <c r="L372" s="74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73"/>
      <c r="H373" s="22"/>
      <c r="I373" s="22"/>
      <c r="J373" s="22"/>
      <c r="K373" s="22"/>
      <c r="L373" s="74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73"/>
      <c r="H374" s="22"/>
      <c r="I374" s="22"/>
      <c r="J374" s="22"/>
      <c r="K374" s="22"/>
      <c r="L374" s="74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73"/>
      <c r="H375" s="22"/>
      <c r="I375" s="22"/>
      <c r="J375" s="22"/>
      <c r="K375" s="22"/>
      <c r="L375" s="74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73"/>
      <c r="H376" s="22"/>
      <c r="I376" s="22"/>
      <c r="J376" s="22"/>
      <c r="K376" s="22"/>
      <c r="L376" s="74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73"/>
      <c r="H377" s="22"/>
      <c r="I377" s="22"/>
      <c r="J377" s="22"/>
      <c r="K377" s="22"/>
      <c r="L377" s="74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73"/>
      <c r="H378" s="22"/>
      <c r="I378" s="22"/>
      <c r="J378" s="22"/>
      <c r="K378" s="22"/>
      <c r="L378" s="74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73"/>
      <c r="H379" s="22"/>
      <c r="I379" s="22"/>
      <c r="J379" s="22"/>
      <c r="K379" s="22"/>
      <c r="L379" s="74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73"/>
      <c r="H380" s="22"/>
      <c r="I380" s="22"/>
      <c r="J380" s="22"/>
      <c r="K380" s="22"/>
      <c r="L380" s="74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73"/>
      <c r="H381" s="22"/>
      <c r="I381" s="22"/>
      <c r="J381" s="22"/>
      <c r="K381" s="22"/>
      <c r="L381" s="74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73"/>
      <c r="H382" s="22"/>
      <c r="I382" s="22"/>
      <c r="J382" s="22"/>
      <c r="K382" s="22"/>
      <c r="L382" s="74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73"/>
      <c r="H383" s="22"/>
      <c r="I383" s="22"/>
      <c r="J383" s="22"/>
      <c r="K383" s="22"/>
      <c r="L383" s="74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73"/>
      <c r="H384" s="22"/>
      <c r="I384" s="22"/>
      <c r="J384" s="22"/>
      <c r="K384" s="22"/>
      <c r="L384" s="74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73"/>
      <c r="H385" s="22"/>
      <c r="I385" s="22"/>
      <c r="J385" s="22"/>
      <c r="K385" s="22"/>
      <c r="L385" s="74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73"/>
      <c r="H386" s="22"/>
      <c r="I386" s="22"/>
      <c r="J386" s="22"/>
      <c r="K386" s="22"/>
      <c r="L386" s="74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73"/>
      <c r="H387" s="22"/>
      <c r="I387" s="22"/>
      <c r="J387" s="22"/>
      <c r="K387" s="22"/>
      <c r="L387" s="74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73"/>
      <c r="H388" s="22"/>
      <c r="I388" s="22"/>
      <c r="J388" s="22"/>
      <c r="K388" s="22"/>
      <c r="L388" s="74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73"/>
      <c r="H389" s="22"/>
      <c r="I389" s="22"/>
      <c r="J389" s="22"/>
      <c r="K389" s="22"/>
      <c r="L389" s="74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73"/>
      <c r="H390" s="22"/>
      <c r="I390" s="22"/>
      <c r="J390" s="22"/>
      <c r="K390" s="22"/>
      <c r="L390" s="74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73"/>
      <c r="H391" s="22"/>
      <c r="I391" s="22"/>
      <c r="J391" s="22"/>
      <c r="K391" s="22"/>
      <c r="L391" s="74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73"/>
      <c r="H392" s="22"/>
      <c r="I392" s="22"/>
      <c r="J392" s="22"/>
      <c r="K392" s="22"/>
      <c r="L392" s="74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73"/>
      <c r="H393" s="22"/>
      <c r="I393" s="22"/>
      <c r="J393" s="22"/>
      <c r="K393" s="22"/>
      <c r="L393" s="74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73"/>
      <c r="H394" s="22"/>
      <c r="I394" s="22"/>
      <c r="J394" s="22"/>
      <c r="K394" s="22"/>
      <c r="L394" s="74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73"/>
      <c r="H395" s="22"/>
      <c r="I395" s="22"/>
      <c r="J395" s="22"/>
      <c r="K395" s="22"/>
      <c r="L395" s="74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73"/>
      <c r="H396" s="22"/>
      <c r="I396" s="22"/>
      <c r="J396" s="22"/>
      <c r="K396" s="22"/>
      <c r="L396" s="74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73"/>
      <c r="H397" s="22"/>
      <c r="I397" s="22"/>
      <c r="J397" s="22"/>
      <c r="K397" s="22"/>
      <c r="L397" s="74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73"/>
      <c r="H398" s="22"/>
      <c r="I398" s="22"/>
      <c r="J398" s="22"/>
      <c r="K398" s="22"/>
      <c r="L398" s="74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73"/>
      <c r="H399" s="22"/>
      <c r="I399" s="22"/>
      <c r="J399" s="22"/>
      <c r="K399" s="22"/>
      <c r="L399" s="74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73"/>
      <c r="H400" s="22"/>
      <c r="I400" s="22"/>
      <c r="J400" s="22"/>
      <c r="K400" s="22"/>
      <c r="L400" s="74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73"/>
      <c r="H401" s="22"/>
      <c r="I401" s="22"/>
      <c r="J401" s="22"/>
      <c r="K401" s="22"/>
      <c r="L401" s="74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73"/>
      <c r="H402" s="22"/>
      <c r="I402" s="22"/>
      <c r="J402" s="22"/>
      <c r="K402" s="22"/>
      <c r="L402" s="74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73"/>
      <c r="H403" s="22"/>
      <c r="I403" s="22"/>
      <c r="J403" s="22"/>
      <c r="K403" s="22"/>
      <c r="L403" s="74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73"/>
      <c r="H404" s="22"/>
      <c r="I404" s="22"/>
      <c r="J404" s="22"/>
      <c r="K404" s="22"/>
      <c r="L404" s="74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73"/>
      <c r="H405" s="22"/>
      <c r="I405" s="22"/>
      <c r="J405" s="22"/>
      <c r="K405" s="22"/>
      <c r="L405" s="74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73"/>
      <c r="H406" s="22"/>
      <c r="I406" s="22"/>
      <c r="J406" s="22"/>
      <c r="K406" s="22"/>
      <c r="L406" s="74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73"/>
      <c r="H407" s="22"/>
      <c r="I407" s="22"/>
      <c r="J407" s="22"/>
      <c r="K407" s="22"/>
      <c r="L407" s="74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73"/>
      <c r="H408" s="22"/>
      <c r="I408" s="22"/>
      <c r="J408" s="22"/>
      <c r="K408" s="22"/>
      <c r="L408" s="74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73"/>
      <c r="H409" s="22"/>
      <c r="I409" s="22"/>
      <c r="J409" s="22"/>
      <c r="K409" s="22"/>
      <c r="L409" s="74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73"/>
      <c r="H410" s="22"/>
      <c r="I410" s="22"/>
      <c r="J410" s="22"/>
      <c r="K410" s="22"/>
      <c r="L410" s="74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73"/>
      <c r="H411" s="22"/>
      <c r="I411" s="22"/>
      <c r="J411" s="22"/>
      <c r="K411" s="22"/>
      <c r="L411" s="74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73"/>
      <c r="H412" s="22"/>
      <c r="I412" s="22"/>
      <c r="J412" s="22"/>
      <c r="K412" s="22"/>
      <c r="L412" s="74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73"/>
      <c r="H413" s="22"/>
      <c r="I413" s="22"/>
      <c r="J413" s="22"/>
      <c r="K413" s="22"/>
      <c r="L413" s="74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73"/>
      <c r="H414" s="22"/>
      <c r="I414" s="22"/>
      <c r="J414" s="22"/>
      <c r="K414" s="22"/>
      <c r="L414" s="74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73"/>
      <c r="H415" s="22"/>
      <c r="I415" s="22"/>
      <c r="J415" s="22"/>
      <c r="K415" s="22"/>
      <c r="L415" s="74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73"/>
      <c r="H416" s="22"/>
      <c r="I416" s="22"/>
      <c r="J416" s="22"/>
      <c r="K416" s="22"/>
      <c r="L416" s="74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73"/>
      <c r="H417" s="22"/>
      <c r="I417" s="22"/>
      <c r="J417" s="22"/>
      <c r="K417" s="22"/>
      <c r="L417" s="74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73"/>
      <c r="H418" s="22"/>
      <c r="I418" s="22"/>
      <c r="J418" s="22"/>
      <c r="K418" s="22"/>
      <c r="L418" s="74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73"/>
      <c r="H419" s="22"/>
      <c r="I419" s="22"/>
      <c r="J419" s="22"/>
      <c r="K419" s="22"/>
      <c r="L419" s="74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73"/>
      <c r="H420" s="22"/>
      <c r="I420" s="22"/>
      <c r="J420" s="22"/>
      <c r="K420" s="22"/>
      <c r="L420" s="74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73"/>
      <c r="H421" s="22"/>
      <c r="I421" s="22"/>
      <c r="J421" s="22"/>
      <c r="K421" s="22"/>
      <c r="L421" s="74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73"/>
      <c r="H422" s="22"/>
      <c r="I422" s="22"/>
      <c r="J422" s="22"/>
      <c r="K422" s="22"/>
      <c r="L422" s="74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73"/>
      <c r="H423" s="22"/>
      <c r="I423" s="22"/>
      <c r="J423" s="22"/>
      <c r="K423" s="22"/>
      <c r="L423" s="74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73"/>
      <c r="H424" s="22"/>
      <c r="I424" s="22"/>
      <c r="J424" s="22"/>
      <c r="K424" s="22"/>
      <c r="L424" s="74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73"/>
      <c r="H425" s="22"/>
      <c r="I425" s="22"/>
      <c r="J425" s="22"/>
      <c r="K425" s="22"/>
      <c r="L425" s="74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73"/>
      <c r="H426" s="22"/>
      <c r="I426" s="22"/>
      <c r="J426" s="22"/>
      <c r="K426" s="22"/>
      <c r="L426" s="74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73"/>
      <c r="H427" s="22"/>
      <c r="I427" s="22"/>
      <c r="J427" s="22"/>
      <c r="K427" s="22"/>
      <c r="L427" s="74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73"/>
      <c r="H428" s="22"/>
      <c r="I428" s="22"/>
      <c r="J428" s="22"/>
      <c r="K428" s="22"/>
      <c r="L428" s="74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73"/>
      <c r="H429" s="22"/>
      <c r="I429" s="22"/>
      <c r="J429" s="22"/>
      <c r="K429" s="22"/>
      <c r="L429" s="74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73"/>
      <c r="H430" s="22"/>
      <c r="I430" s="22"/>
      <c r="J430" s="22"/>
      <c r="K430" s="22"/>
      <c r="L430" s="74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73"/>
      <c r="H431" s="22"/>
      <c r="I431" s="22"/>
      <c r="J431" s="22"/>
      <c r="K431" s="22"/>
      <c r="L431" s="74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73"/>
      <c r="H432" s="22"/>
      <c r="I432" s="22"/>
      <c r="J432" s="22"/>
      <c r="K432" s="22"/>
      <c r="L432" s="74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73"/>
      <c r="H433" s="22"/>
      <c r="I433" s="22"/>
      <c r="J433" s="22"/>
      <c r="K433" s="22"/>
      <c r="L433" s="74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73"/>
      <c r="H434" s="22"/>
      <c r="I434" s="22"/>
      <c r="J434" s="22"/>
      <c r="K434" s="22"/>
      <c r="L434" s="74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73"/>
      <c r="H435" s="22"/>
      <c r="I435" s="22"/>
      <c r="J435" s="22"/>
      <c r="K435" s="22"/>
      <c r="L435" s="74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73"/>
      <c r="H436" s="22"/>
      <c r="I436" s="22"/>
      <c r="J436" s="22"/>
      <c r="K436" s="22"/>
      <c r="L436" s="74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73"/>
      <c r="H437" s="22"/>
      <c r="I437" s="22"/>
      <c r="J437" s="22"/>
      <c r="K437" s="22"/>
      <c r="L437" s="74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73"/>
      <c r="H438" s="22"/>
      <c r="I438" s="22"/>
      <c r="J438" s="22"/>
      <c r="K438" s="22"/>
      <c r="L438" s="74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73"/>
      <c r="H439" s="22"/>
      <c r="I439" s="22"/>
      <c r="J439" s="22"/>
      <c r="K439" s="22"/>
      <c r="L439" s="74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73"/>
      <c r="H440" s="22"/>
      <c r="I440" s="22"/>
      <c r="J440" s="22"/>
      <c r="K440" s="22"/>
      <c r="L440" s="74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73"/>
      <c r="H441" s="22"/>
      <c r="I441" s="22"/>
      <c r="J441" s="22"/>
      <c r="K441" s="22"/>
      <c r="L441" s="74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73"/>
      <c r="H442" s="22"/>
      <c r="I442" s="22"/>
      <c r="J442" s="22"/>
      <c r="K442" s="22"/>
      <c r="L442" s="74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73"/>
      <c r="H443" s="22"/>
      <c r="I443" s="22"/>
      <c r="J443" s="22"/>
      <c r="K443" s="22"/>
      <c r="L443" s="74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73"/>
      <c r="H444" s="22"/>
      <c r="I444" s="22"/>
      <c r="J444" s="22"/>
      <c r="K444" s="22"/>
      <c r="L444" s="74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73"/>
      <c r="H445" s="22"/>
      <c r="I445" s="22"/>
      <c r="J445" s="22"/>
      <c r="K445" s="22"/>
      <c r="L445" s="74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73"/>
      <c r="H446" s="22"/>
      <c r="I446" s="22"/>
      <c r="J446" s="22"/>
      <c r="K446" s="22"/>
      <c r="L446" s="74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73"/>
      <c r="H447" s="22"/>
      <c r="I447" s="22"/>
      <c r="J447" s="22"/>
      <c r="K447" s="22"/>
      <c r="L447" s="74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73"/>
      <c r="H448" s="22"/>
      <c r="I448" s="22"/>
      <c r="J448" s="22"/>
      <c r="K448" s="22"/>
      <c r="L448" s="74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73"/>
      <c r="H449" s="22"/>
      <c r="I449" s="22"/>
      <c r="J449" s="22"/>
      <c r="K449" s="22"/>
      <c r="L449" s="74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73"/>
      <c r="H450" s="22"/>
      <c r="I450" s="22"/>
      <c r="J450" s="22"/>
      <c r="K450" s="22"/>
      <c r="L450" s="74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73"/>
      <c r="H451" s="22"/>
      <c r="I451" s="22"/>
      <c r="J451" s="22"/>
      <c r="K451" s="22"/>
      <c r="L451" s="74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73"/>
      <c r="H452" s="22"/>
      <c r="I452" s="22"/>
      <c r="J452" s="22"/>
      <c r="K452" s="22"/>
      <c r="L452" s="74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73"/>
      <c r="H453" s="22"/>
      <c r="I453" s="22"/>
      <c r="J453" s="22"/>
      <c r="K453" s="22"/>
      <c r="L453" s="74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73"/>
      <c r="H454" s="22"/>
      <c r="I454" s="22"/>
      <c r="J454" s="22"/>
      <c r="K454" s="22"/>
      <c r="L454" s="74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73"/>
      <c r="H455" s="22"/>
      <c r="I455" s="22"/>
      <c r="J455" s="22"/>
      <c r="K455" s="22"/>
      <c r="L455" s="74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73"/>
      <c r="H456" s="22"/>
      <c r="I456" s="22"/>
      <c r="J456" s="22"/>
      <c r="K456" s="22"/>
      <c r="L456" s="74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73"/>
      <c r="H457" s="22"/>
      <c r="I457" s="22"/>
      <c r="J457" s="22"/>
      <c r="K457" s="22"/>
      <c r="L457" s="74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73"/>
      <c r="H458" s="22"/>
      <c r="I458" s="22"/>
      <c r="J458" s="22"/>
      <c r="K458" s="22"/>
      <c r="L458" s="74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73"/>
      <c r="H459" s="22"/>
      <c r="I459" s="22"/>
      <c r="J459" s="22"/>
      <c r="K459" s="22"/>
      <c r="L459" s="74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73"/>
      <c r="H460" s="22"/>
      <c r="I460" s="22"/>
      <c r="J460" s="22"/>
      <c r="K460" s="22"/>
      <c r="L460" s="74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73"/>
      <c r="H461" s="22"/>
      <c r="I461" s="22"/>
      <c r="J461" s="22"/>
      <c r="K461" s="22"/>
      <c r="L461" s="74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73"/>
      <c r="H462" s="22"/>
      <c r="I462" s="22"/>
      <c r="J462" s="22"/>
      <c r="K462" s="22"/>
      <c r="L462" s="74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73"/>
      <c r="H463" s="22"/>
      <c r="I463" s="22"/>
      <c r="J463" s="22"/>
      <c r="K463" s="22"/>
      <c r="L463" s="74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73"/>
      <c r="H464" s="22"/>
      <c r="I464" s="22"/>
      <c r="J464" s="22"/>
      <c r="K464" s="22"/>
      <c r="L464" s="74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73"/>
      <c r="H465" s="22"/>
      <c r="I465" s="22"/>
      <c r="J465" s="22"/>
      <c r="K465" s="22"/>
      <c r="L465" s="74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73"/>
      <c r="H466" s="22"/>
      <c r="I466" s="22"/>
      <c r="J466" s="22"/>
      <c r="K466" s="22"/>
      <c r="L466" s="74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73"/>
      <c r="H467" s="22"/>
      <c r="I467" s="22"/>
      <c r="J467" s="22"/>
      <c r="K467" s="22"/>
      <c r="L467" s="74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73"/>
      <c r="H468" s="22"/>
      <c r="I468" s="22"/>
      <c r="J468" s="22"/>
      <c r="K468" s="22"/>
      <c r="L468" s="74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73"/>
      <c r="H469" s="22"/>
      <c r="I469" s="22"/>
      <c r="J469" s="22"/>
      <c r="K469" s="22"/>
      <c r="L469" s="74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73"/>
      <c r="H470" s="22"/>
      <c r="I470" s="22"/>
      <c r="J470" s="22"/>
      <c r="K470" s="22"/>
      <c r="L470" s="74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73"/>
      <c r="H471" s="22"/>
      <c r="I471" s="22"/>
      <c r="J471" s="22"/>
      <c r="K471" s="22"/>
      <c r="L471" s="74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73"/>
      <c r="H472" s="22"/>
      <c r="I472" s="22"/>
      <c r="J472" s="22"/>
      <c r="K472" s="22"/>
      <c r="L472" s="74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73"/>
      <c r="H473" s="22"/>
      <c r="I473" s="22"/>
      <c r="J473" s="22"/>
      <c r="K473" s="22"/>
      <c r="L473" s="74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73"/>
      <c r="H474" s="22"/>
      <c r="I474" s="22"/>
      <c r="J474" s="22"/>
      <c r="K474" s="22"/>
      <c r="L474" s="74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73"/>
      <c r="H475" s="22"/>
      <c r="I475" s="22"/>
      <c r="J475" s="22"/>
      <c r="K475" s="22"/>
      <c r="L475" s="74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73"/>
      <c r="H476" s="22"/>
      <c r="I476" s="22"/>
      <c r="J476" s="22"/>
      <c r="K476" s="22"/>
      <c r="L476" s="74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73"/>
      <c r="H477" s="22"/>
      <c r="I477" s="22"/>
      <c r="J477" s="22"/>
      <c r="K477" s="22"/>
      <c r="L477" s="74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73"/>
      <c r="H478" s="22"/>
      <c r="I478" s="22"/>
      <c r="J478" s="22"/>
      <c r="K478" s="22"/>
      <c r="L478" s="74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73"/>
      <c r="H479" s="22"/>
      <c r="I479" s="22"/>
      <c r="J479" s="22"/>
      <c r="K479" s="22"/>
      <c r="L479" s="74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73"/>
      <c r="H480" s="22"/>
      <c r="I480" s="22"/>
      <c r="J480" s="22"/>
      <c r="K480" s="22"/>
      <c r="L480" s="74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73"/>
      <c r="H481" s="22"/>
      <c r="I481" s="22"/>
      <c r="J481" s="22"/>
      <c r="K481" s="22"/>
      <c r="L481" s="74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73"/>
      <c r="H482" s="22"/>
      <c r="I482" s="22"/>
      <c r="J482" s="22"/>
      <c r="K482" s="22"/>
      <c r="L482" s="74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73"/>
      <c r="H483" s="22"/>
      <c r="I483" s="22"/>
      <c r="J483" s="22"/>
      <c r="K483" s="22"/>
      <c r="L483" s="74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73"/>
      <c r="H484" s="22"/>
      <c r="I484" s="22"/>
      <c r="J484" s="22"/>
      <c r="K484" s="22"/>
      <c r="L484" s="74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73"/>
      <c r="H485" s="22"/>
      <c r="I485" s="22"/>
      <c r="J485" s="22"/>
      <c r="K485" s="22"/>
      <c r="L485" s="74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73"/>
      <c r="H486" s="22"/>
      <c r="I486" s="22"/>
      <c r="J486" s="22"/>
      <c r="K486" s="22"/>
      <c r="L486" s="74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73"/>
      <c r="H487" s="22"/>
      <c r="I487" s="22"/>
      <c r="J487" s="22"/>
      <c r="K487" s="22"/>
      <c r="L487" s="74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73"/>
      <c r="H488" s="22"/>
      <c r="I488" s="22"/>
      <c r="J488" s="22"/>
      <c r="K488" s="22"/>
      <c r="L488" s="74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73"/>
      <c r="H489" s="22"/>
      <c r="I489" s="22"/>
      <c r="J489" s="22"/>
      <c r="K489" s="22"/>
      <c r="L489" s="74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73"/>
      <c r="H490" s="22"/>
      <c r="I490" s="22"/>
      <c r="J490" s="22"/>
      <c r="K490" s="22"/>
      <c r="L490" s="74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73"/>
      <c r="H491" s="22"/>
      <c r="I491" s="22"/>
      <c r="J491" s="22"/>
      <c r="K491" s="22"/>
      <c r="L491" s="74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73"/>
      <c r="H492" s="22"/>
      <c r="I492" s="22"/>
      <c r="J492" s="22"/>
      <c r="K492" s="22"/>
      <c r="L492" s="74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73"/>
      <c r="H493" s="22"/>
      <c r="I493" s="22"/>
      <c r="J493" s="22"/>
      <c r="K493" s="22"/>
      <c r="L493" s="74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73"/>
      <c r="H494" s="22"/>
      <c r="I494" s="22"/>
      <c r="J494" s="22"/>
      <c r="K494" s="22"/>
      <c r="L494" s="74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73"/>
      <c r="H495" s="22"/>
      <c r="I495" s="22"/>
      <c r="J495" s="22"/>
      <c r="K495" s="22"/>
      <c r="L495" s="74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73"/>
      <c r="H496" s="22"/>
      <c r="I496" s="22"/>
      <c r="J496" s="22"/>
      <c r="K496" s="22"/>
      <c r="L496" s="74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73"/>
      <c r="H497" s="22"/>
      <c r="I497" s="22"/>
      <c r="J497" s="22"/>
      <c r="K497" s="22"/>
      <c r="L497" s="74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73"/>
      <c r="H498" s="22"/>
      <c r="I498" s="22"/>
      <c r="J498" s="22"/>
      <c r="K498" s="22"/>
      <c r="L498" s="74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73"/>
      <c r="H499" s="22"/>
      <c r="I499" s="22"/>
      <c r="J499" s="22"/>
      <c r="K499" s="22"/>
      <c r="L499" s="74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73"/>
      <c r="H500" s="22"/>
      <c r="I500" s="22"/>
      <c r="J500" s="22"/>
      <c r="K500" s="22"/>
      <c r="L500" s="74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73"/>
      <c r="H501" s="22"/>
      <c r="I501" s="22"/>
      <c r="J501" s="22"/>
      <c r="K501" s="22"/>
      <c r="L501" s="74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73"/>
      <c r="H502" s="22"/>
      <c r="I502" s="22"/>
      <c r="J502" s="22"/>
      <c r="K502" s="22"/>
      <c r="L502" s="74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73"/>
      <c r="H503" s="22"/>
      <c r="I503" s="22"/>
      <c r="J503" s="22"/>
      <c r="K503" s="22"/>
      <c r="L503" s="74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73"/>
      <c r="H504" s="22"/>
      <c r="I504" s="22"/>
      <c r="J504" s="22"/>
      <c r="K504" s="22"/>
      <c r="L504" s="74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73"/>
      <c r="H505" s="22"/>
      <c r="I505" s="22"/>
      <c r="J505" s="22"/>
      <c r="K505" s="22"/>
      <c r="L505" s="74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73"/>
      <c r="H506" s="22"/>
      <c r="I506" s="22"/>
      <c r="J506" s="22"/>
      <c r="K506" s="22"/>
      <c r="L506" s="74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73"/>
      <c r="H507" s="22"/>
      <c r="I507" s="22"/>
      <c r="J507" s="22"/>
      <c r="K507" s="22"/>
      <c r="L507" s="74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73"/>
      <c r="H508" s="22"/>
      <c r="I508" s="22"/>
      <c r="J508" s="22"/>
      <c r="K508" s="22"/>
      <c r="L508" s="74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73"/>
      <c r="H509" s="22"/>
      <c r="I509" s="22"/>
      <c r="J509" s="22"/>
      <c r="K509" s="22"/>
      <c r="L509" s="74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73"/>
      <c r="H510" s="22"/>
      <c r="I510" s="22"/>
      <c r="J510" s="22"/>
      <c r="K510" s="22"/>
      <c r="L510" s="74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73"/>
      <c r="H511" s="22"/>
      <c r="I511" s="22"/>
      <c r="J511" s="22"/>
      <c r="K511" s="22"/>
      <c r="L511" s="74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73"/>
      <c r="H512" s="22"/>
      <c r="I512" s="22"/>
      <c r="J512" s="22"/>
      <c r="K512" s="22"/>
      <c r="L512" s="74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73"/>
      <c r="H513" s="22"/>
      <c r="I513" s="22"/>
      <c r="J513" s="22"/>
      <c r="K513" s="22"/>
      <c r="L513" s="74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73"/>
      <c r="H514" s="22"/>
      <c r="I514" s="22"/>
      <c r="J514" s="22"/>
      <c r="K514" s="22"/>
      <c r="L514" s="74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73"/>
      <c r="H515" s="22"/>
      <c r="I515" s="22"/>
      <c r="J515" s="22"/>
      <c r="K515" s="22"/>
      <c r="L515" s="74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73"/>
      <c r="H516" s="22"/>
      <c r="I516" s="22"/>
      <c r="J516" s="22"/>
      <c r="K516" s="22"/>
      <c r="L516" s="74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73"/>
      <c r="H517" s="22"/>
      <c r="I517" s="22"/>
      <c r="J517" s="22"/>
      <c r="K517" s="22"/>
      <c r="L517" s="74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73"/>
      <c r="H518" s="22"/>
      <c r="I518" s="22"/>
      <c r="J518" s="22"/>
      <c r="K518" s="22"/>
      <c r="L518" s="74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73"/>
      <c r="H519" s="22"/>
      <c r="I519" s="22"/>
      <c r="J519" s="22"/>
      <c r="K519" s="22"/>
      <c r="L519" s="74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73"/>
      <c r="H520" s="22"/>
      <c r="I520" s="22"/>
      <c r="J520" s="22"/>
      <c r="K520" s="22"/>
      <c r="L520" s="74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73"/>
      <c r="H521" s="22"/>
      <c r="I521" s="22"/>
      <c r="J521" s="22"/>
      <c r="K521" s="22"/>
      <c r="L521" s="74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73"/>
      <c r="H522" s="22"/>
      <c r="I522" s="22"/>
      <c r="J522" s="22"/>
      <c r="K522" s="22"/>
      <c r="L522" s="74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73"/>
      <c r="H523" s="22"/>
      <c r="I523" s="22"/>
      <c r="J523" s="22"/>
      <c r="K523" s="22"/>
      <c r="L523" s="74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73"/>
      <c r="H524" s="22"/>
      <c r="I524" s="22"/>
      <c r="J524" s="22"/>
      <c r="K524" s="22"/>
      <c r="L524" s="74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73"/>
      <c r="H525" s="22"/>
      <c r="I525" s="22"/>
      <c r="J525" s="22"/>
      <c r="K525" s="22"/>
      <c r="L525" s="74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73"/>
      <c r="H526" s="22"/>
      <c r="I526" s="22"/>
      <c r="J526" s="22"/>
      <c r="K526" s="22"/>
      <c r="L526" s="74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73"/>
      <c r="H527" s="22"/>
      <c r="I527" s="22"/>
      <c r="J527" s="22"/>
      <c r="K527" s="22"/>
      <c r="L527" s="74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73"/>
      <c r="H528" s="22"/>
      <c r="I528" s="22"/>
      <c r="J528" s="22"/>
      <c r="K528" s="22"/>
      <c r="L528" s="74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73"/>
      <c r="H529" s="22"/>
      <c r="I529" s="22"/>
      <c r="J529" s="22"/>
      <c r="K529" s="22"/>
      <c r="L529" s="74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73"/>
      <c r="H530" s="22"/>
      <c r="I530" s="22"/>
      <c r="J530" s="22"/>
      <c r="K530" s="22"/>
      <c r="L530" s="74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73"/>
      <c r="H531" s="22"/>
      <c r="I531" s="22"/>
      <c r="J531" s="22"/>
      <c r="K531" s="22"/>
      <c r="L531" s="74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73"/>
      <c r="H532" s="22"/>
      <c r="I532" s="22"/>
      <c r="J532" s="22"/>
      <c r="K532" s="22"/>
      <c r="L532" s="74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73"/>
      <c r="H533" s="22"/>
      <c r="I533" s="22"/>
      <c r="J533" s="22"/>
      <c r="K533" s="22"/>
      <c r="L533" s="74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73"/>
      <c r="H534" s="22"/>
      <c r="I534" s="22"/>
      <c r="J534" s="22"/>
      <c r="K534" s="22"/>
      <c r="L534" s="74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73"/>
      <c r="H535" s="22"/>
      <c r="I535" s="22"/>
      <c r="J535" s="22"/>
      <c r="K535" s="22"/>
      <c r="L535" s="74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73"/>
      <c r="H536" s="22"/>
      <c r="I536" s="22"/>
      <c r="J536" s="22"/>
      <c r="K536" s="22"/>
      <c r="L536" s="74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73"/>
      <c r="H537" s="22"/>
      <c r="I537" s="22"/>
      <c r="J537" s="22"/>
      <c r="K537" s="22"/>
      <c r="L537" s="74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73"/>
      <c r="H538" s="22"/>
      <c r="I538" s="22"/>
      <c r="J538" s="22"/>
      <c r="K538" s="22"/>
      <c r="L538" s="74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73"/>
      <c r="H539" s="22"/>
      <c r="I539" s="22"/>
      <c r="J539" s="22"/>
      <c r="K539" s="22"/>
      <c r="L539" s="74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73"/>
      <c r="H540" s="22"/>
      <c r="I540" s="22"/>
      <c r="J540" s="22"/>
      <c r="K540" s="22"/>
      <c r="L540" s="74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73"/>
      <c r="H541" s="22"/>
      <c r="I541" s="22"/>
      <c r="J541" s="22"/>
      <c r="K541" s="22"/>
      <c r="L541" s="74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73"/>
      <c r="H542" s="22"/>
      <c r="I542" s="22"/>
      <c r="J542" s="22"/>
      <c r="K542" s="22"/>
      <c r="L542" s="74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73"/>
      <c r="H543" s="22"/>
      <c r="I543" s="22"/>
      <c r="J543" s="22"/>
      <c r="K543" s="22"/>
      <c r="L543" s="74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73"/>
      <c r="H544" s="22"/>
      <c r="I544" s="22"/>
      <c r="J544" s="22"/>
      <c r="K544" s="22"/>
      <c r="L544" s="74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73"/>
      <c r="H545" s="22"/>
      <c r="I545" s="22"/>
      <c r="J545" s="22"/>
      <c r="K545" s="22"/>
      <c r="L545" s="74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73"/>
      <c r="H546" s="22"/>
      <c r="I546" s="22"/>
      <c r="J546" s="22"/>
      <c r="K546" s="22"/>
      <c r="L546" s="74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73"/>
      <c r="H547" s="22"/>
      <c r="I547" s="22"/>
      <c r="J547" s="22"/>
      <c r="K547" s="22"/>
      <c r="L547" s="74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73"/>
      <c r="H548" s="22"/>
      <c r="I548" s="22"/>
      <c r="J548" s="22"/>
      <c r="K548" s="22"/>
      <c r="L548" s="74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73"/>
      <c r="H549" s="22"/>
      <c r="I549" s="22"/>
      <c r="J549" s="22"/>
      <c r="K549" s="22"/>
      <c r="L549" s="74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73"/>
      <c r="H550" s="22"/>
      <c r="I550" s="22"/>
      <c r="J550" s="22"/>
      <c r="K550" s="22"/>
      <c r="L550" s="74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73"/>
      <c r="H551" s="22"/>
      <c r="I551" s="22"/>
      <c r="J551" s="22"/>
      <c r="K551" s="22"/>
      <c r="L551" s="74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73"/>
      <c r="H552" s="22"/>
      <c r="I552" s="22"/>
      <c r="J552" s="22"/>
      <c r="K552" s="22"/>
      <c r="L552" s="74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73"/>
      <c r="H553" s="22"/>
      <c r="I553" s="22"/>
      <c r="J553" s="22"/>
      <c r="K553" s="22"/>
      <c r="L553" s="74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73"/>
      <c r="H554" s="22"/>
      <c r="I554" s="22"/>
      <c r="J554" s="22"/>
      <c r="K554" s="22"/>
      <c r="L554" s="74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73"/>
      <c r="H555" s="22"/>
      <c r="I555" s="22"/>
      <c r="J555" s="22"/>
      <c r="K555" s="22"/>
      <c r="L555" s="74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73"/>
      <c r="H556" s="22"/>
      <c r="I556" s="22"/>
      <c r="J556" s="22"/>
      <c r="K556" s="22"/>
      <c r="L556" s="74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73"/>
      <c r="H557" s="22"/>
      <c r="I557" s="22"/>
      <c r="J557" s="22"/>
      <c r="K557" s="22"/>
      <c r="L557" s="74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73"/>
      <c r="H558" s="22"/>
      <c r="I558" s="22"/>
      <c r="J558" s="22"/>
      <c r="K558" s="22"/>
      <c r="L558" s="74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73"/>
      <c r="H559" s="22"/>
      <c r="I559" s="22"/>
      <c r="J559" s="22"/>
      <c r="K559" s="22"/>
      <c r="L559" s="74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73"/>
      <c r="H560" s="22"/>
      <c r="I560" s="22"/>
      <c r="J560" s="22"/>
      <c r="K560" s="22"/>
      <c r="L560" s="74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73"/>
      <c r="H561" s="22"/>
      <c r="I561" s="22"/>
      <c r="J561" s="22"/>
      <c r="K561" s="22"/>
      <c r="L561" s="74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73"/>
      <c r="H562" s="22"/>
      <c r="I562" s="22"/>
      <c r="J562" s="22"/>
      <c r="K562" s="22"/>
      <c r="L562" s="74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73"/>
      <c r="H563" s="22"/>
      <c r="I563" s="22"/>
      <c r="J563" s="22"/>
      <c r="K563" s="22"/>
      <c r="L563" s="74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73"/>
      <c r="H564" s="22"/>
      <c r="I564" s="22"/>
      <c r="J564" s="22"/>
      <c r="K564" s="22"/>
      <c r="L564" s="74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73"/>
      <c r="H565" s="22"/>
      <c r="I565" s="22"/>
      <c r="J565" s="22"/>
      <c r="K565" s="22"/>
      <c r="L565" s="74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73"/>
      <c r="H566" s="22"/>
      <c r="I566" s="22"/>
      <c r="J566" s="22"/>
      <c r="K566" s="22"/>
      <c r="L566" s="74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73"/>
      <c r="H567" s="22"/>
      <c r="I567" s="22"/>
      <c r="J567" s="22"/>
      <c r="K567" s="22"/>
      <c r="L567" s="74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73"/>
      <c r="H568" s="22"/>
      <c r="I568" s="22"/>
      <c r="J568" s="22"/>
      <c r="K568" s="22"/>
      <c r="L568" s="74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73"/>
      <c r="H569" s="22"/>
      <c r="I569" s="22"/>
      <c r="J569" s="22"/>
      <c r="K569" s="22"/>
      <c r="L569" s="74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73"/>
      <c r="H570" s="22"/>
      <c r="I570" s="22"/>
      <c r="J570" s="22"/>
      <c r="K570" s="22"/>
      <c r="L570" s="74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73"/>
      <c r="H571" s="22"/>
      <c r="I571" s="22"/>
      <c r="J571" s="22"/>
      <c r="K571" s="22"/>
      <c r="L571" s="74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73"/>
      <c r="H572" s="22"/>
      <c r="I572" s="22"/>
      <c r="J572" s="22"/>
      <c r="K572" s="22"/>
      <c r="L572" s="74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73"/>
      <c r="H573" s="22"/>
      <c r="I573" s="22"/>
      <c r="J573" s="22"/>
      <c r="K573" s="22"/>
      <c r="L573" s="74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73"/>
      <c r="H574" s="22"/>
      <c r="I574" s="22"/>
      <c r="J574" s="22"/>
      <c r="K574" s="22"/>
      <c r="L574" s="74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73"/>
      <c r="H575" s="22"/>
      <c r="I575" s="22"/>
      <c r="J575" s="22"/>
      <c r="K575" s="22"/>
      <c r="L575" s="74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73"/>
      <c r="H576" s="22"/>
      <c r="I576" s="22"/>
      <c r="J576" s="22"/>
      <c r="K576" s="22"/>
      <c r="L576" s="74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73"/>
      <c r="H577" s="22"/>
      <c r="I577" s="22"/>
      <c r="J577" s="22"/>
      <c r="K577" s="22"/>
      <c r="L577" s="74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73"/>
      <c r="H578" s="22"/>
      <c r="I578" s="22"/>
      <c r="J578" s="22"/>
      <c r="K578" s="22"/>
      <c r="L578" s="74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73"/>
      <c r="H579" s="22"/>
      <c r="I579" s="22"/>
      <c r="J579" s="22"/>
      <c r="K579" s="22"/>
      <c r="L579" s="74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73"/>
      <c r="H580" s="22"/>
      <c r="I580" s="22"/>
      <c r="J580" s="22"/>
      <c r="K580" s="22"/>
      <c r="L580" s="74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73"/>
      <c r="H581" s="22"/>
      <c r="I581" s="22"/>
      <c r="J581" s="22"/>
      <c r="K581" s="22"/>
      <c r="L581" s="74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73"/>
      <c r="H582" s="22"/>
      <c r="I582" s="22"/>
      <c r="J582" s="22"/>
      <c r="K582" s="22"/>
      <c r="L582" s="74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73"/>
      <c r="H583" s="22"/>
      <c r="I583" s="22"/>
      <c r="J583" s="22"/>
      <c r="K583" s="22"/>
      <c r="L583" s="74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73"/>
      <c r="H584" s="22"/>
      <c r="I584" s="22"/>
      <c r="J584" s="22"/>
      <c r="K584" s="22"/>
      <c r="L584" s="74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73"/>
      <c r="H585" s="22"/>
      <c r="I585" s="22"/>
      <c r="J585" s="22"/>
      <c r="K585" s="22"/>
      <c r="L585" s="74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73"/>
      <c r="H586" s="22"/>
      <c r="I586" s="22"/>
      <c r="J586" s="22"/>
      <c r="K586" s="22"/>
      <c r="L586" s="74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73"/>
      <c r="H587" s="22"/>
      <c r="I587" s="22"/>
      <c r="J587" s="22"/>
      <c r="K587" s="22"/>
      <c r="L587" s="74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73"/>
      <c r="H588" s="22"/>
      <c r="I588" s="22"/>
      <c r="J588" s="22"/>
      <c r="K588" s="22"/>
      <c r="L588" s="74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73"/>
      <c r="H589" s="22"/>
      <c r="I589" s="22"/>
      <c r="J589" s="22"/>
      <c r="K589" s="22"/>
      <c r="L589" s="74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73"/>
      <c r="H590" s="22"/>
      <c r="I590" s="22"/>
      <c r="J590" s="22"/>
      <c r="K590" s="22"/>
      <c r="L590" s="74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73"/>
      <c r="H591" s="22"/>
      <c r="I591" s="22"/>
      <c r="J591" s="22"/>
      <c r="K591" s="22"/>
      <c r="L591" s="74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73"/>
      <c r="H592" s="22"/>
      <c r="I592" s="22"/>
      <c r="J592" s="22"/>
      <c r="K592" s="22"/>
      <c r="L592" s="74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73"/>
      <c r="H593" s="22"/>
      <c r="I593" s="22"/>
      <c r="J593" s="22"/>
      <c r="K593" s="22"/>
      <c r="L593" s="74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73"/>
      <c r="H594" s="22"/>
      <c r="I594" s="22"/>
      <c r="J594" s="22"/>
      <c r="K594" s="22"/>
      <c r="L594" s="74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73"/>
      <c r="H595" s="22"/>
      <c r="I595" s="22"/>
      <c r="J595" s="22"/>
      <c r="K595" s="22"/>
      <c r="L595" s="74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73"/>
      <c r="H596" s="22"/>
      <c r="I596" s="22"/>
      <c r="J596" s="22"/>
      <c r="K596" s="22"/>
      <c r="L596" s="74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73"/>
      <c r="H597" s="22"/>
      <c r="I597" s="22"/>
      <c r="J597" s="22"/>
      <c r="K597" s="22"/>
      <c r="L597" s="74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73"/>
      <c r="H598" s="22"/>
      <c r="I598" s="22"/>
      <c r="J598" s="22"/>
      <c r="K598" s="22"/>
      <c r="L598" s="74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73"/>
      <c r="H599" s="22"/>
      <c r="I599" s="22"/>
      <c r="J599" s="22"/>
      <c r="K599" s="22"/>
      <c r="L599" s="74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73"/>
      <c r="H600" s="22"/>
      <c r="I600" s="22"/>
      <c r="J600" s="22"/>
      <c r="K600" s="22"/>
      <c r="L600" s="74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73"/>
      <c r="H601" s="22"/>
      <c r="I601" s="22"/>
      <c r="J601" s="22"/>
      <c r="K601" s="22"/>
      <c r="L601" s="74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73"/>
      <c r="H602" s="22"/>
      <c r="I602" s="22"/>
      <c r="J602" s="22"/>
      <c r="K602" s="22"/>
      <c r="L602" s="74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73"/>
      <c r="H603" s="22"/>
      <c r="I603" s="22"/>
      <c r="J603" s="22"/>
      <c r="K603" s="22"/>
      <c r="L603" s="74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73"/>
      <c r="H604" s="22"/>
      <c r="I604" s="22"/>
      <c r="J604" s="22"/>
      <c r="K604" s="22"/>
      <c r="L604" s="74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73"/>
      <c r="H605" s="22"/>
      <c r="I605" s="22"/>
      <c r="J605" s="22"/>
      <c r="K605" s="22"/>
      <c r="L605" s="74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73"/>
      <c r="H606" s="22"/>
      <c r="I606" s="22"/>
      <c r="J606" s="22"/>
      <c r="K606" s="22"/>
      <c r="L606" s="74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73"/>
      <c r="H607" s="22"/>
      <c r="I607" s="22"/>
      <c r="J607" s="22"/>
      <c r="K607" s="22"/>
      <c r="L607" s="74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73"/>
      <c r="H608" s="22"/>
      <c r="I608" s="22"/>
      <c r="J608" s="22"/>
      <c r="K608" s="22"/>
      <c r="L608" s="74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73"/>
      <c r="H609" s="22"/>
      <c r="I609" s="22"/>
      <c r="J609" s="22"/>
      <c r="K609" s="22"/>
      <c r="L609" s="74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73"/>
      <c r="H610" s="22"/>
      <c r="I610" s="22"/>
      <c r="J610" s="22"/>
      <c r="K610" s="22"/>
      <c r="L610" s="74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73"/>
      <c r="H611" s="22"/>
      <c r="I611" s="22"/>
      <c r="J611" s="22"/>
      <c r="K611" s="22"/>
      <c r="L611" s="74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73"/>
      <c r="H612" s="22"/>
      <c r="I612" s="22"/>
      <c r="J612" s="22"/>
      <c r="K612" s="22"/>
      <c r="L612" s="74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73"/>
      <c r="H613" s="22"/>
      <c r="I613" s="22"/>
      <c r="J613" s="22"/>
      <c r="K613" s="22"/>
      <c r="L613" s="74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73"/>
      <c r="H614" s="22"/>
      <c r="I614" s="22"/>
      <c r="J614" s="22"/>
      <c r="K614" s="22"/>
      <c r="L614" s="74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73"/>
      <c r="H615" s="22"/>
      <c r="I615" s="22"/>
      <c r="J615" s="22"/>
      <c r="K615" s="22"/>
      <c r="L615" s="74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73"/>
      <c r="H616" s="22"/>
      <c r="I616" s="22"/>
      <c r="J616" s="22"/>
      <c r="K616" s="22"/>
      <c r="L616" s="74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73"/>
      <c r="H617" s="22"/>
      <c r="I617" s="22"/>
      <c r="J617" s="22"/>
      <c r="K617" s="22"/>
      <c r="L617" s="74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73"/>
      <c r="H618" s="22"/>
      <c r="I618" s="22"/>
      <c r="J618" s="22"/>
      <c r="K618" s="22"/>
      <c r="L618" s="74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73"/>
      <c r="H619" s="22"/>
      <c r="I619" s="22"/>
      <c r="J619" s="22"/>
      <c r="K619" s="22"/>
      <c r="L619" s="74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73"/>
      <c r="H620" s="22"/>
      <c r="I620" s="22"/>
      <c r="J620" s="22"/>
      <c r="K620" s="22"/>
      <c r="L620" s="74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73"/>
      <c r="H621" s="22"/>
      <c r="I621" s="22"/>
      <c r="J621" s="22"/>
      <c r="K621" s="22"/>
      <c r="L621" s="74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73"/>
      <c r="H622" s="22"/>
      <c r="I622" s="22"/>
      <c r="J622" s="22"/>
      <c r="K622" s="22"/>
      <c r="L622" s="74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73"/>
      <c r="H623" s="22"/>
      <c r="I623" s="22"/>
      <c r="J623" s="22"/>
      <c r="K623" s="22"/>
      <c r="L623" s="74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73"/>
      <c r="H624" s="22"/>
      <c r="I624" s="22"/>
      <c r="J624" s="22"/>
      <c r="K624" s="22"/>
      <c r="L624" s="74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73"/>
      <c r="H625" s="22"/>
      <c r="I625" s="22"/>
      <c r="J625" s="22"/>
      <c r="K625" s="22"/>
      <c r="L625" s="74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73"/>
      <c r="H626" s="22"/>
      <c r="I626" s="22"/>
      <c r="J626" s="22"/>
      <c r="K626" s="22"/>
      <c r="L626" s="74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73"/>
      <c r="H627" s="22"/>
      <c r="I627" s="22"/>
      <c r="J627" s="22"/>
      <c r="K627" s="22"/>
      <c r="L627" s="74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73"/>
      <c r="H628" s="22"/>
      <c r="I628" s="22"/>
      <c r="J628" s="22"/>
      <c r="K628" s="22"/>
      <c r="L628" s="74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73"/>
      <c r="H629" s="22"/>
      <c r="I629" s="22"/>
      <c r="J629" s="22"/>
      <c r="K629" s="22"/>
      <c r="L629" s="74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73"/>
      <c r="H630" s="22"/>
      <c r="I630" s="22"/>
      <c r="J630" s="22"/>
      <c r="K630" s="22"/>
      <c r="L630" s="74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73"/>
      <c r="H631" s="22"/>
      <c r="I631" s="22"/>
      <c r="J631" s="22"/>
      <c r="K631" s="22"/>
      <c r="L631" s="74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73"/>
      <c r="H632" s="22"/>
      <c r="I632" s="22"/>
      <c r="J632" s="22"/>
      <c r="K632" s="22"/>
      <c r="L632" s="74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73"/>
      <c r="H633" s="22"/>
      <c r="I633" s="22"/>
      <c r="J633" s="22"/>
      <c r="K633" s="22"/>
      <c r="L633" s="74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73"/>
      <c r="H634" s="22"/>
      <c r="I634" s="22"/>
      <c r="J634" s="22"/>
      <c r="K634" s="22"/>
      <c r="L634" s="74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73"/>
      <c r="H635" s="22"/>
      <c r="I635" s="22"/>
      <c r="J635" s="22"/>
      <c r="K635" s="22"/>
      <c r="L635" s="74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73"/>
      <c r="H636" s="22"/>
      <c r="I636" s="22"/>
      <c r="J636" s="22"/>
      <c r="K636" s="22"/>
      <c r="L636" s="74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73"/>
      <c r="H637" s="22"/>
      <c r="I637" s="22"/>
      <c r="J637" s="22"/>
      <c r="K637" s="22"/>
      <c r="L637" s="74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73"/>
      <c r="H638" s="22"/>
      <c r="I638" s="22"/>
      <c r="J638" s="22"/>
      <c r="K638" s="22"/>
      <c r="L638" s="74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73"/>
      <c r="H639" s="22"/>
      <c r="I639" s="22"/>
      <c r="J639" s="22"/>
      <c r="K639" s="22"/>
      <c r="L639" s="74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73"/>
      <c r="H640" s="22"/>
      <c r="I640" s="22"/>
      <c r="J640" s="22"/>
      <c r="K640" s="22"/>
      <c r="L640" s="74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73"/>
      <c r="H641" s="22"/>
      <c r="I641" s="22"/>
      <c r="J641" s="22"/>
      <c r="K641" s="22"/>
      <c r="L641" s="74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73"/>
      <c r="H642" s="22"/>
      <c r="I642" s="22"/>
      <c r="J642" s="22"/>
      <c r="K642" s="22"/>
      <c r="L642" s="74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73"/>
      <c r="H643" s="22"/>
      <c r="I643" s="22"/>
      <c r="J643" s="22"/>
      <c r="K643" s="22"/>
      <c r="L643" s="74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73"/>
      <c r="H644" s="22"/>
      <c r="I644" s="22"/>
      <c r="J644" s="22"/>
      <c r="K644" s="22"/>
      <c r="L644" s="74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73"/>
      <c r="H645" s="22"/>
      <c r="I645" s="22"/>
      <c r="J645" s="22"/>
      <c r="K645" s="22"/>
      <c r="L645" s="74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73"/>
      <c r="H646" s="22"/>
      <c r="I646" s="22"/>
      <c r="J646" s="22"/>
      <c r="K646" s="22"/>
      <c r="L646" s="74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73"/>
      <c r="H647" s="22"/>
      <c r="I647" s="22"/>
      <c r="J647" s="22"/>
      <c r="K647" s="22"/>
      <c r="L647" s="74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73"/>
      <c r="H648" s="22"/>
      <c r="I648" s="22"/>
      <c r="J648" s="22"/>
      <c r="K648" s="22"/>
      <c r="L648" s="74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73"/>
      <c r="H649" s="22"/>
      <c r="I649" s="22"/>
      <c r="J649" s="22"/>
      <c r="K649" s="22"/>
      <c r="L649" s="74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73"/>
      <c r="H650" s="22"/>
      <c r="I650" s="22"/>
      <c r="J650" s="22"/>
      <c r="K650" s="22"/>
      <c r="L650" s="74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73"/>
      <c r="H651" s="22"/>
      <c r="I651" s="22"/>
      <c r="J651" s="22"/>
      <c r="K651" s="22"/>
      <c r="L651" s="74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73"/>
      <c r="H652" s="22"/>
      <c r="I652" s="22"/>
      <c r="J652" s="22"/>
      <c r="K652" s="22"/>
      <c r="L652" s="74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73"/>
      <c r="H653" s="22"/>
      <c r="I653" s="22"/>
      <c r="J653" s="22"/>
      <c r="K653" s="22"/>
      <c r="L653" s="74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73"/>
      <c r="H654" s="22"/>
      <c r="I654" s="22"/>
      <c r="J654" s="22"/>
      <c r="K654" s="22"/>
      <c r="L654" s="74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73"/>
      <c r="H655" s="22"/>
      <c r="I655" s="22"/>
      <c r="J655" s="22"/>
      <c r="K655" s="22"/>
      <c r="L655" s="74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73"/>
      <c r="H656" s="22"/>
      <c r="I656" s="22"/>
      <c r="J656" s="22"/>
      <c r="K656" s="22"/>
      <c r="L656" s="74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73"/>
      <c r="H657" s="22"/>
      <c r="I657" s="22"/>
      <c r="J657" s="22"/>
      <c r="K657" s="22"/>
      <c r="L657" s="74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73"/>
      <c r="H658" s="22"/>
      <c r="I658" s="22"/>
      <c r="J658" s="22"/>
      <c r="K658" s="22"/>
      <c r="L658" s="74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73"/>
      <c r="H659" s="22"/>
      <c r="I659" s="22"/>
      <c r="J659" s="22"/>
      <c r="K659" s="22"/>
      <c r="L659" s="74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73"/>
      <c r="H660" s="22"/>
      <c r="I660" s="22"/>
      <c r="J660" s="22"/>
      <c r="K660" s="22"/>
      <c r="L660" s="74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73"/>
      <c r="H661" s="22"/>
      <c r="I661" s="22"/>
      <c r="J661" s="22"/>
      <c r="K661" s="22"/>
      <c r="L661" s="74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73"/>
      <c r="H662" s="22"/>
      <c r="I662" s="22"/>
      <c r="J662" s="22"/>
      <c r="K662" s="22"/>
      <c r="L662" s="74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73"/>
      <c r="H663" s="22"/>
      <c r="I663" s="22"/>
      <c r="J663" s="22"/>
      <c r="K663" s="22"/>
      <c r="L663" s="74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73"/>
      <c r="H664" s="22"/>
      <c r="I664" s="22"/>
      <c r="J664" s="22"/>
      <c r="K664" s="22"/>
      <c r="L664" s="74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73"/>
      <c r="H665" s="22"/>
      <c r="I665" s="22"/>
      <c r="J665" s="22"/>
      <c r="K665" s="22"/>
      <c r="L665" s="74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73"/>
      <c r="H666" s="22"/>
      <c r="I666" s="22"/>
      <c r="J666" s="22"/>
      <c r="K666" s="22"/>
      <c r="L666" s="74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73"/>
      <c r="H667" s="22"/>
      <c r="I667" s="22"/>
      <c r="J667" s="22"/>
      <c r="K667" s="22"/>
      <c r="L667" s="74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73"/>
      <c r="H668" s="22"/>
      <c r="I668" s="22"/>
      <c r="J668" s="22"/>
      <c r="K668" s="22"/>
      <c r="L668" s="74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73"/>
      <c r="H669" s="22"/>
      <c r="I669" s="22"/>
      <c r="J669" s="22"/>
      <c r="K669" s="22"/>
      <c r="L669" s="74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73"/>
      <c r="H670" s="22"/>
      <c r="I670" s="22"/>
      <c r="J670" s="22"/>
      <c r="K670" s="22"/>
      <c r="L670" s="74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73"/>
      <c r="H671" s="22"/>
      <c r="I671" s="22"/>
      <c r="J671" s="22"/>
      <c r="K671" s="22"/>
      <c r="L671" s="74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73"/>
      <c r="H672" s="22"/>
      <c r="I672" s="22"/>
      <c r="J672" s="22"/>
      <c r="K672" s="22"/>
      <c r="L672" s="74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73"/>
      <c r="H673" s="22"/>
      <c r="I673" s="22"/>
      <c r="J673" s="22"/>
      <c r="K673" s="22"/>
      <c r="L673" s="74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73"/>
      <c r="H674" s="22"/>
      <c r="I674" s="22"/>
      <c r="J674" s="22"/>
      <c r="K674" s="22"/>
      <c r="L674" s="74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73"/>
      <c r="H675" s="22"/>
      <c r="I675" s="22"/>
      <c r="J675" s="22"/>
      <c r="K675" s="22"/>
      <c r="L675" s="74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73"/>
      <c r="H676" s="22"/>
      <c r="I676" s="22"/>
      <c r="J676" s="22"/>
      <c r="K676" s="22"/>
      <c r="L676" s="74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73"/>
      <c r="H677" s="22"/>
      <c r="I677" s="22"/>
      <c r="J677" s="22"/>
      <c r="K677" s="22"/>
      <c r="L677" s="74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73"/>
      <c r="H678" s="22"/>
      <c r="I678" s="22"/>
      <c r="J678" s="22"/>
      <c r="K678" s="22"/>
      <c r="L678" s="74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73"/>
      <c r="H679" s="22"/>
      <c r="I679" s="22"/>
      <c r="J679" s="22"/>
      <c r="K679" s="22"/>
      <c r="L679" s="74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73"/>
      <c r="H680" s="22"/>
      <c r="I680" s="22"/>
      <c r="J680" s="22"/>
      <c r="K680" s="22"/>
      <c r="L680" s="74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73"/>
      <c r="H681" s="22"/>
      <c r="I681" s="22"/>
      <c r="J681" s="22"/>
      <c r="K681" s="22"/>
      <c r="L681" s="74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73"/>
      <c r="H682" s="22"/>
      <c r="I682" s="22"/>
      <c r="J682" s="22"/>
      <c r="K682" s="22"/>
      <c r="L682" s="74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73"/>
      <c r="H683" s="22"/>
      <c r="I683" s="22"/>
      <c r="J683" s="22"/>
      <c r="K683" s="22"/>
      <c r="L683" s="74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73"/>
      <c r="H684" s="22"/>
      <c r="I684" s="22"/>
      <c r="J684" s="22"/>
      <c r="K684" s="22"/>
      <c r="L684" s="74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73"/>
      <c r="H685" s="22"/>
      <c r="I685" s="22"/>
      <c r="J685" s="22"/>
      <c r="K685" s="22"/>
      <c r="L685" s="74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73"/>
      <c r="H686" s="22"/>
      <c r="I686" s="22"/>
      <c r="J686" s="22"/>
      <c r="K686" s="22"/>
      <c r="L686" s="74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73"/>
      <c r="H687" s="22"/>
      <c r="I687" s="22"/>
      <c r="J687" s="22"/>
      <c r="K687" s="22"/>
      <c r="L687" s="74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73"/>
      <c r="H688" s="22"/>
      <c r="I688" s="22"/>
      <c r="J688" s="22"/>
      <c r="K688" s="22"/>
      <c r="L688" s="74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73"/>
      <c r="H689" s="22"/>
      <c r="I689" s="22"/>
      <c r="J689" s="22"/>
      <c r="K689" s="22"/>
      <c r="L689" s="74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73"/>
      <c r="H690" s="22"/>
      <c r="I690" s="22"/>
      <c r="J690" s="22"/>
      <c r="K690" s="22"/>
      <c r="L690" s="74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73"/>
      <c r="H691" s="22"/>
      <c r="I691" s="22"/>
      <c r="J691" s="22"/>
      <c r="K691" s="22"/>
      <c r="L691" s="74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73"/>
      <c r="H692" s="22"/>
      <c r="I692" s="22"/>
      <c r="J692" s="22"/>
      <c r="K692" s="22"/>
      <c r="L692" s="74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73"/>
      <c r="H693" s="22"/>
      <c r="I693" s="22"/>
      <c r="J693" s="22"/>
      <c r="K693" s="22"/>
      <c r="L693" s="74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73"/>
      <c r="H694" s="22"/>
      <c r="I694" s="22"/>
      <c r="J694" s="22"/>
      <c r="K694" s="22"/>
      <c r="L694" s="74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73"/>
      <c r="H695" s="22"/>
      <c r="I695" s="22"/>
      <c r="J695" s="22"/>
      <c r="K695" s="22"/>
      <c r="L695" s="74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73"/>
      <c r="H696" s="22"/>
      <c r="I696" s="22"/>
      <c r="J696" s="22"/>
      <c r="K696" s="22"/>
      <c r="L696" s="74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73"/>
      <c r="H697" s="22"/>
      <c r="I697" s="22"/>
      <c r="J697" s="22"/>
      <c r="K697" s="22"/>
      <c r="L697" s="74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73"/>
      <c r="H698" s="22"/>
      <c r="I698" s="22"/>
      <c r="J698" s="22"/>
      <c r="K698" s="22"/>
      <c r="L698" s="74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73"/>
      <c r="H699" s="22"/>
      <c r="I699" s="22"/>
      <c r="J699" s="22"/>
      <c r="K699" s="22"/>
      <c r="L699" s="74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73"/>
      <c r="H700" s="22"/>
      <c r="I700" s="22"/>
      <c r="J700" s="22"/>
      <c r="K700" s="22"/>
      <c r="L700" s="74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73"/>
      <c r="H701" s="22"/>
      <c r="I701" s="22"/>
      <c r="J701" s="22"/>
      <c r="K701" s="22"/>
      <c r="L701" s="74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73"/>
      <c r="H702" s="22"/>
      <c r="I702" s="22"/>
      <c r="J702" s="22"/>
      <c r="K702" s="22"/>
      <c r="L702" s="74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73"/>
      <c r="H703" s="22"/>
      <c r="I703" s="22"/>
      <c r="J703" s="22"/>
      <c r="K703" s="22"/>
      <c r="L703" s="74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73"/>
      <c r="H704" s="22"/>
      <c r="I704" s="22"/>
      <c r="J704" s="22"/>
      <c r="K704" s="22"/>
      <c r="L704" s="74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73"/>
      <c r="H705" s="22"/>
      <c r="I705" s="22"/>
      <c r="J705" s="22"/>
      <c r="K705" s="22"/>
      <c r="L705" s="74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73"/>
      <c r="H706" s="22"/>
      <c r="I706" s="22"/>
      <c r="J706" s="22"/>
      <c r="K706" s="22"/>
      <c r="L706" s="74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73"/>
      <c r="H707" s="22"/>
      <c r="I707" s="22"/>
      <c r="J707" s="22"/>
      <c r="K707" s="22"/>
      <c r="L707" s="74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73"/>
      <c r="H708" s="22"/>
      <c r="I708" s="22"/>
      <c r="J708" s="22"/>
      <c r="K708" s="22"/>
      <c r="L708" s="74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73"/>
      <c r="H709" s="22"/>
      <c r="I709" s="22"/>
      <c r="J709" s="22"/>
      <c r="K709" s="22"/>
      <c r="L709" s="74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73"/>
      <c r="H710" s="22"/>
      <c r="I710" s="22"/>
      <c r="J710" s="22"/>
      <c r="K710" s="22"/>
      <c r="L710" s="74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73"/>
      <c r="H711" s="22"/>
      <c r="I711" s="22"/>
      <c r="J711" s="22"/>
      <c r="K711" s="22"/>
      <c r="L711" s="74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73"/>
      <c r="H712" s="22"/>
      <c r="I712" s="22"/>
      <c r="J712" s="22"/>
      <c r="K712" s="22"/>
      <c r="L712" s="74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73"/>
      <c r="H713" s="22"/>
      <c r="I713" s="22"/>
      <c r="J713" s="22"/>
      <c r="K713" s="22"/>
      <c r="L713" s="74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73"/>
      <c r="H714" s="22"/>
      <c r="I714" s="22"/>
      <c r="J714" s="22"/>
      <c r="K714" s="22"/>
      <c r="L714" s="74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73"/>
      <c r="H715" s="22"/>
      <c r="I715" s="22"/>
      <c r="J715" s="22"/>
      <c r="K715" s="22"/>
      <c r="L715" s="74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73"/>
      <c r="H716" s="22"/>
      <c r="I716" s="22"/>
      <c r="J716" s="22"/>
      <c r="K716" s="22"/>
      <c r="L716" s="74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73"/>
      <c r="H717" s="22"/>
      <c r="I717" s="22"/>
      <c r="J717" s="22"/>
      <c r="K717" s="22"/>
      <c r="L717" s="74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73"/>
      <c r="H718" s="22"/>
      <c r="I718" s="22"/>
      <c r="J718" s="22"/>
      <c r="K718" s="22"/>
      <c r="L718" s="74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73"/>
      <c r="H719" s="22"/>
      <c r="I719" s="22"/>
      <c r="J719" s="22"/>
      <c r="K719" s="22"/>
      <c r="L719" s="74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73"/>
      <c r="H720" s="22"/>
      <c r="I720" s="22"/>
      <c r="J720" s="22"/>
      <c r="K720" s="22"/>
      <c r="L720" s="74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73"/>
      <c r="H721" s="22"/>
      <c r="I721" s="22"/>
      <c r="J721" s="22"/>
      <c r="K721" s="22"/>
      <c r="L721" s="74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73"/>
      <c r="H722" s="22"/>
      <c r="I722" s="22"/>
      <c r="J722" s="22"/>
      <c r="K722" s="22"/>
      <c r="L722" s="74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73"/>
      <c r="H723" s="22"/>
      <c r="I723" s="22"/>
      <c r="J723" s="22"/>
      <c r="K723" s="22"/>
      <c r="L723" s="74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73"/>
      <c r="H724" s="22"/>
      <c r="I724" s="22"/>
      <c r="J724" s="22"/>
      <c r="K724" s="22"/>
      <c r="L724" s="74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73"/>
      <c r="H725" s="22"/>
      <c r="I725" s="22"/>
      <c r="J725" s="22"/>
      <c r="K725" s="22"/>
      <c r="L725" s="74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73"/>
      <c r="H726" s="22"/>
      <c r="I726" s="22"/>
      <c r="J726" s="22"/>
      <c r="K726" s="22"/>
      <c r="L726" s="74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73"/>
      <c r="H727" s="22"/>
      <c r="I727" s="22"/>
      <c r="J727" s="22"/>
      <c r="K727" s="22"/>
      <c r="L727" s="74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73"/>
      <c r="H728" s="22"/>
      <c r="I728" s="22"/>
      <c r="J728" s="22"/>
      <c r="K728" s="22"/>
      <c r="L728" s="74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73"/>
      <c r="H729" s="22"/>
      <c r="I729" s="22"/>
      <c r="J729" s="22"/>
      <c r="K729" s="22"/>
      <c r="L729" s="74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73"/>
      <c r="H730" s="22"/>
      <c r="I730" s="22"/>
      <c r="J730" s="22"/>
      <c r="K730" s="22"/>
      <c r="L730" s="74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73"/>
      <c r="H731" s="22"/>
      <c r="I731" s="22"/>
      <c r="J731" s="22"/>
      <c r="K731" s="22"/>
      <c r="L731" s="74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73"/>
      <c r="H732" s="22"/>
      <c r="I732" s="22"/>
      <c r="J732" s="22"/>
      <c r="K732" s="22"/>
      <c r="L732" s="74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73"/>
      <c r="H733" s="22"/>
      <c r="I733" s="22"/>
      <c r="J733" s="22"/>
      <c r="K733" s="22"/>
      <c r="L733" s="74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73"/>
      <c r="H734" s="22"/>
      <c r="I734" s="22"/>
      <c r="J734" s="22"/>
      <c r="K734" s="22"/>
      <c r="L734" s="74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73"/>
      <c r="H735" s="22"/>
      <c r="I735" s="22"/>
      <c r="J735" s="22"/>
      <c r="K735" s="22"/>
      <c r="L735" s="74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73"/>
      <c r="H736" s="22"/>
      <c r="I736" s="22"/>
      <c r="J736" s="22"/>
      <c r="K736" s="22"/>
      <c r="L736" s="74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73"/>
      <c r="H737" s="22"/>
      <c r="I737" s="22"/>
      <c r="J737" s="22"/>
      <c r="K737" s="22"/>
      <c r="L737" s="74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73"/>
      <c r="H738" s="22"/>
      <c r="I738" s="22"/>
      <c r="J738" s="22"/>
      <c r="K738" s="22"/>
      <c r="L738" s="74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73"/>
      <c r="H739" s="22"/>
      <c r="I739" s="22"/>
      <c r="J739" s="22"/>
      <c r="K739" s="22"/>
      <c r="L739" s="74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73"/>
      <c r="H740" s="22"/>
      <c r="I740" s="22"/>
      <c r="J740" s="22"/>
      <c r="K740" s="22"/>
      <c r="L740" s="74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73"/>
      <c r="H741" s="22"/>
      <c r="I741" s="22"/>
      <c r="J741" s="22"/>
      <c r="K741" s="22"/>
      <c r="L741" s="74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73"/>
      <c r="H742" s="22"/>
      <c r="I742" s="22"/>
      <c r="J742" s="22"/>
      <c r="K742" s="22"/>
      <c r="L742" s="74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73"/>
      <c r="H743" s="22"/>
      <c r="I743" s="22"/>
      <c r="J743" s="22"/>
      <c r="K743" s="22"/>
      <c r="L743" s="74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73"/>
      <c r="H744" s="22"/>
      <c r="I744" s="22"/>
      <c r="J744" s="22"/>
      <c r="K744" s="22"/>
      <c r="L744" s="74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73"/>
      <c r="H745" s="22"/>
      <c r="I745" s="22"/>
      <c r="J745" s="22"/>
      <c r="K745" s="22"/>
      <c r="L745" s="74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73"/>
      <c r="H746" s="22"/>
      <c r="I746" s="22"/>
      <c r="J746" s="22"/>
      <c r="K746" s="22"/>
      <c r="L746" s="74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73"/>
      <c r="H747" s="22"/>
      <c r="I747" s="22"/>
      <c r="J747" s="22"/>
      <c r="K747" s="22"/>
      <c r="L747" s="74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73"/>
      <c r="H748" s="22"/>
      <c r="I748" s="22"/>
      <c r="J748" s="22"/>
      <c r="K748" s="22"/>
      <c r="L748" s="74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73"/>
      <c r="H749" s="22"/>
      <c r="I749" s="22"/>
      <c r="J749" s="22"/>
      <c r="K749" s="22"/>
      <c r="L749" s="74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73"/>
      <c r="H750" s="22"/>
      <c r="I750" s="22"/>
      <c r="J750" s="22"/>
      <c r="K750" s="22"/>
      <c r="L750" s="74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73"/>
      <c r="H751" s="22"/>
      <c r="I751" s="22"/>
      <c r="J751" s="22"/>
      <c r="K751" s="22"/>
      <c r="L751" s="74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73"/>
      <c r="H752" s="22"/>
      <c r="I752" s="22"/>
      <c r="J752" s="22"/>
      <c r="K752" s="22"/>
      <c r="L752" s="74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73"/>
      <c r="H753" s="22"/>
      <c r="I753" s="22"/>
      <c r="J753" s="22"/>
      <c r="K753" s="22"/>
      <c r="L753" s="74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73"/>
      <c r="H754" s="22"/>
      <c r="I754" s="22"/>
      <c r="J754" s="22"/>
      <c r="K754" s="22"/>
      <c r="L754" s="74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73"/>
      <c r="H755" s="22"/>
      <c r="I755" s="22"/>
      <c r="J755" s="22"/>
      <c r="K755" s="22"/>
      <c r="L755" s="74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73"/>
      <c r="H756" s="22"/>
      <c r="I756" s="22"/>
      <c r="J756" s="22"/>
      <c r="K756" s="22"/>
      <c r="L756" s="74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73"/>
      <c r="H757" s="22"/>
      <c r="I757" s="22"/>
      <c r="J757" s="22"/>
      <c r="K757" s="22"/>
      <c r="L757" s="74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73"/>
      <c r="H758" s="22"/>
      <c r="I758" s="22"/>
      <c r="J758" s="22"/>
      <c r="K758" s="22"/>
      <c r="L758" s="74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73"/>
      <c r="H759" s="22"/>
      <c r="I759" s="22"/>
      <c r="J759" s="22"/>
      <c r="K759" s="22"/>
      <c r="L759" s="74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73"/>
      <c r="H760" s="22"/>
      <c r="I760" s="22"/>
      <c r="J760" s="22"/>
      <c r="K760" s="22"/>
      <c r="L760" s="74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73"/>
      <c r="H761" s="22"/>
      <c r="I761" s="22"/>
      <c r="J761" s="22"/>
      <c r="K761" s="22"/>
      <c r="L761" s="74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73"/>
      <c r="H762" s="22"/>
      <c r="I762" s="22"/>
      <c r="J762" s="22"/>
      <c r="K762" s="22"/>
      <c r="L762" s="74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73"/>
      <c r="H763" s="22"/>
      <c r="I763" s="22"/>
      <c r="J763" s="22"/>
      <c r="K763" s="22"/>
      <c r="L763" s="74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73"/>
      <c r="H764" s="22"/>
      <c r="I764" s="22"/>
      <c r="J764" s="22"/>
      <c r="K764" s="22"/>
      <c r="L764" s="74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73"/>
      <c r="H765" s="22"/>
      <c r="I765" s="22"/>
      <c r="J765" s="22"/>
      <c r="K765" s="22"/>
      <c r="L765" s="74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73"/>
      <c r="H766" s="22"/>
      <c r="I766" s="22"/>
      <c r="J766" s="22"/>
      <c r="K766" s="22"/>
      <c r="L766" s="74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73"/>
      <c r="H767" s="22"/>
      <c r="I767" s="22"/>
      <c r="J767" s="22"/>
      <c r="K767" s="22"/>
      <c r="L767" s="74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73"/>
      <c r="H768" s="22"/>
      <c r="I768" s="22"/>
      <c r="J768" s="22"/>
      <c r="K768" s="22"/>
      <c r="L768" s="74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73"/>
      <c r="H769" s="22"/>
      <c r="I769" s="22"/>
      <c r="J769" s="22"/>
      <c r="K769" s="22"/>
      <c r="L769" s="74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73"/>
      <c r="H770" s="22"/>
      <c r="I770" s="22"/>
      <c r="J770" s="22"/>
      <c r="K770" s="22"/>
      <c r="L770" s="74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73"/>
      <c r="H771" s="22"/>
      <c r="I771" s="22"/>
      <c r="J771" s="22"/>
      <c r="K771" s="22"/>
      <c r="L771" s="74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73"/>
      <c r="H772" s="22"/>
      <c r="I772" s="22"/>
      <c r="J772" s="22"/>
      <c r="K772" s="22"/>
      <c r="L772" s="74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73"/>
      <c r="H773" s="22"/>
      <c r="I773" s="22"/>
      <c r="J773" s="22"/>
      <c r="K773" s="22"/>
      <c r="L773" s="74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73"/>
      <c r="H774" s="22"/>
      <c r="I774" s="22"/>
      <c r="J774" s="22"/>
      <c r="K774" s="22"/>
      <c r="L774" s="74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73"/>
      <c r="H775" s="22"/>
      <c r="I775" s="22"/>
      <c r="J775" s="22"/>
      <c r="K775" s="22"/>
      <c r="L775" s="74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73"/>
      <c r="H776" s="22"/>
      <c r="I776" s="22"/>
      <c r="J776" s="22"/>
      <c r="K776" s="22"/>
      <c r="L776" s="74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73"/>
      <c r="H777" s="22"/>
      <c r="I777" s="22"/>
      <c r="J777" s="22"/>
      <c r="K777" s="22"/>
      <c r="L777" s="74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73"/>
      <c r="H778" s="22"/>
      <c r="I778" s="22"/>
      <c r="J778" s="22"/>
      <c r="K778" s="22"/>
      <c r="L778" s="74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73"/>
      <c r="H779" s="22"/>
      <c r="I779" s="22"/>
      <c r="J779" s="22"/>
      <c r="K779" s="22"/>
      <c r="L779" s="74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73"/>
      <c r="H780" s="22"/>
      <c r="I780" s="22"/>
      <c r="J780" s="22"/>
      <c r="K780" s="22"/>
      <c r="L780" s="74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73"/>
      <c r="H781" s="22"/>
      <c r="I781" s="22"/>
      <c r="J781" s="22"/>
      <c r="K781" s="22"/>
      <c r="L781" s="74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73"/>
      <c r="H782" s="22"/>
      <c r="I782" s="22"/>
      <c r="J782" s="22"/>
      <c r="K782" s="22"/>
      <c r="L782" s="74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73"/>
      <c r="H783" s="22"/>
      <c r="I783" s="22"/>
      <c r="J783" s="22"/>
      <c r="K783" s="22"/>
      <c r="L783" s="74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73"/>
      <c r="H784" s="22"/>
      <c r="I784" s="22"/>
      <c r="J784" s="22"/>
      <c r="K784" s="22"/>
      <c r="L784" s="74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73"/>
      <c r="H785" s="22"/>
      <c r="I785" s="22"/>
      <c r="J785" s="22"/>
      <c r="K785" s="22"/>
      <c r="L785" s="74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73"/>
      <c r="H786" s="22"/>
      <c r="I786" s="22"/>
      <c r="J786" s="22"/>
      <c r="K786" s="22"/>
      <c r="L786" s="74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73"/>
      <c r="H787" s="22"/>
      <c r="I787" s="22"/>
      <c r="J787" s="22"/>
      <c r="K787" s="22"/>
      <c r="L787" s="74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73"/>
      <c r="H788" s="22"/>
      <c r="I788" s="22"/>
      <c r="J788" s="22"/>
      <c r="K788" s="22"/>
      <c r="L788" s="74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73"/>
      <c r="H789" s="22"/>
      <c r="I789" s="22"/>
      <c r="J789" s="22"/>
      <c r="K789" s="22"/>
      <c r="L789" s="74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73"/>
      <c r="H790" s="22"/>
      <c r="I790" s="22"/>
      <c r="J790" s="22"/>
      <c r="K790" s="22"/>
      <c r="L790" s="74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73"/>
      <c r="H791" s="22"/>
      <c r="I791" s="22"/>
      <c r="J791" s="22"/>
      <c r="K791" s="22"/>
      <c r="L791" s="74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73"/>
      <c r="H792" s="22"/>
      <c r="I792" s="22"/>
      <c r="J792" s="22"/>
      <c r="K792" s="22"/>
      <c r="L792" s="74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73"/>
      <c r="H793" s="22"/>
      <c r="I793" s="22"/>
      <c r="J793" s="22"/>
      <c r="K793" s="22"/>
      <c r="L793" s="74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73"/>
      <c r="H794" s="22"/>
      <c r="I794" s="22"/>
      <c r="J794" s="22"/>
      <c r="K794" s="22"/>
      <c r="L794" s="74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73"/>
      <c r="H795" s="22"/>
      <c r="I795" s="22"/>
      <c r="J795" s="22"/>
      <c r="K795" s="22"/>
      <c r="L795" s="74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73"/>
      <c r="H796" s="22"/>
      <c r="I796" s="22"/>
      <c r="J796" s="22"/>
      <c r="K796" s="22"/>
      <c r="L796" s="74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73"/>
      <c r="H797" s="22"/>
      <c r="I797" s="22"/>
      <c r="J797" s="22"/>
      <c r="K797" s="22"/>
      <c r="L797" s="74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73"/>
      <c r="H798" s="22"/>
      <c r="I798" s="22"/>
      <c r="J798" s="22"/>
      <c r="K798" s="22"/>
      <c r="L798" s="74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73"/>
      <c r="H799" s="22"/>
      <c r="I799" s="22"/>
      <c r="J799" s="22"/>
      <c r="K799" s="22"/>
      <c r="L799" s="74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73"/>
      <c r="H800" s="22"/>
      <c r="I800" s="22"/>
      <c r="J800" s="22"/>
      <c r="K800" s="22"/>
      <c r="L800" s="74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73"/>
      <c r="H801" s="22"/>
      <c r="I801" s="22"/>
      <c r="J801" s="22"/>
      <c r="K801" s="22"/>
      <c r="L801" s="74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73"/>
      <c r="H802" s="22"/>
      <c r="I802" s="22"/>
      <c r="J802" s="22"/>
      <c r="K802" s="22"/>
      <c r="L802" s="74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73"/>
      <c r="H803" s="22"/>
      <c r="I803" s="22"/>
      <c r="J803" s="22"/>
      <c r="K803" s="22"/>
      <c r="L803" s="74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73"/>
      <c r="H804" s="22"/>
      <c r="I804" s="22"/>
      <c r="J804" s="22"/>
      <c r="K804" s="22"/>
      <c r="L804" s="74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73"/>
      <c r="H805" s="22"/>
      <c r="I805" s="22"/>
      <c r="J805" s="22"/>
      <c r="K805" s="22"/>
      <c r="L805" s="74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73"/>
      <c r="H806" s="22"/>
      <c r="I806" s="22"/>
      <c r="J806" s="22"/>
      <c r="K806" s="22"/>
      <c r="L806" s="74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73"/>
      <c r="H807" s="22"/>
      <c r="I807" s="22"/>
      <c r="J807" s="22"/>
      <c r="K807" s="22"/>
      <c r="L807" s="74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73"/>
      <c r="H808" s="22"/>
      <c r="I808" s="22"/>
      <c r="J808" s="22"/>
      <c r="K808" s="22"/>
      <c r="L808" s="74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73"/>
      <c r="H809" s="22"/>
      <c r="I809" s="22"/>
      <c r="J809" s="22"/>
      <c r="K809" s="22"/>
      <c r="L809" s="74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73"/>
      <c r="H810" s="22"/>
      <c r="I810" s="22"/>
      <c r="J810" s="22"/>
      <c r="K810" s="22"/>
      <c r="L810" s="74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73"/>
      <c r="H811" s="22"/>
      <c r="I811" s="22"/>
      <c r="J811" s="22"/>
      <c r="K811" s="22"/>
      <c r="L811" s="74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73"/>
      <c r="H812" s="22"/>
      <c r="I812" s="22"/>
      <c r="J812" s="22"/>
      <c r="K812" s="22"/>
      <c r="L812" s="74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73"/>
      <c r="H813" s="22"/>
      <c r="I813" s="22"/>
      <c r="J813" s="22"/>
      <c r="K813" s="22"/>
      <c r="L813" s="74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73"/>
      <c r="H814" s="22"/>
      <c r="I814" s="22"/>
      <c r="J814" s="22"/>
      <c r="K814" s="22"/>
      <c r="L814" s="74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73"/>
      <c r="H815" s="22"/>
      <c r="I815" s="22"/>
      <c r="J815" s="22"/>
      <c r="K815" s="22"/>
      <c r="L815" s="74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73"/>
      <c r="H816" s="22"/>
      <c r="I816" s="22"/>
      <c r="J816" s="22"/>
      <c r="K816" s="22"/>
      <c r="L816" s="74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73"/>
      <c r="H817" s="22"/>
      <c r="I817" s="22"/>
      <c r="J817" s="22"/>
      <c r="K817" s="22"/>
      <c r="L817" s="74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73"/>
      <c r="H818" s="22"/>
      <c r="I818" s="22"/>
      <c r="J818" s="22"/>
      <c r="K818" s="22"/>
      <c r="L818" s="74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73"/>
      <c r="H819" s="22"/>
      <c r="I819" s="22"/>
      <c r="J819" s="22"/>
      <c r="K819" s="22"/>
      <c r="L819" s="74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73"/>
      <c r="H820" s="22"/>
      <c r="I820" s="22"/>
      <c r="J820" s="22"/>
      <c r="K820" s="22"/>
      <c r="L820" s="74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73"/>
      <c r="H821" s="22"/>
      <c r="I821" s="22"/>
      <c r="J821" s="22"/>
      <c r="K821" s="22"/>
      <c r="L821" s="74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73"/>
      <c r="H822" s="22"/>
      <c r="I822" s="22"/>
      <c r="J822" s="22"/>
      <c r="K822" s="22"/>
      <c r="L822" s="74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73"/>
      <c r="H823" s="22"/>
      <c r="I823" s="22"/>
      <c r="J823" s="22"/>
      <c r="K823" s="22"/>
      <c r="L823" s="74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73"/>
      <c r="H824" s="22"/>
      <c r="I824" s="22"/>
      <c r="J824" s="22"/>
      <c r="K824" s="22"/>
      <c r="L824" s="74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73"/>
      <c r="H825" s="22"/>
      <c r="I825" s="22"/>
      <c r="J825" s="22"/>
      <c r="K825" s="22"/>
      <c r="L825" s="74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73"/>
      <c r="H826" s="22"/>
      <c r="I826" s="22"/>
      <c r="J826" s="22"/>
      <c r="K826" s="22"/>
      <c r="L826" s="74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73"/>
      <c r="H827" s="22"/>
      <c r="I827" s="22"/>
      <c r="J827" s="22"/>
      <c r="K827" s="22"/>
      <c r="L827" s="74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73"/>
      <c r="H828" s="22"/>
      <c r="I828" s="22"/>
      <c r="J828" s="22"/>
      <c r="K828" s="22"/>
      <c r="L828" s="74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73"/>
      <c r="H829" s="22"/>
      <c r="I829" s="22"/>
      <c r="J829" s="22"/>
      <c r="K829" s="22"/>
      <c r="L829" s="74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73"/>
      <c r="H830" s="22"/>
      <c r="I830" s="22"/>
      <c r="J830" s="22"/>
      <c r="K830" s="22"/>
      <c r="L830" s="74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73"/>
      <c r="H831" s="22"/>
      <c r="I831" s="22"/>
      <c r="J831" s="22"/>
      <c r="K831" s="22"/>
      <c r="L831" s="74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73"/>
      <c r="H832" s="22"/>
      <c r="I832" s="22"/>
      <c r="J832" s="22"/>
      <c r="K832" s="22"/>
      <c r="L832" s="74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73"/>
      <c r="H833" s="22"/>
      <c r="I833" s="22"/>
      <c r="J833" s="22"/>
      <c r="K833" s="22"/>
      <c r="L833" s="74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73"/>
      <c r="H834" s="22"/>
      <c r="I834" s="22"/>
      <c r="J834" s="22"/>
      <c r="K834" s="22"/>
      <c r="L834" s="74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73"/>
      <c r="H835" s="22"/>
      <c r="I835" s="22"/>
      <c r="J835" s="22"/>
      <c r="K835" s="22"/>
      <c r="L835" s="74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73"/>
      <c r="H836" s="22"/>
      <c r="I836" s="22"/>
      <c r="J836" s="22"/>
      <c r="K836" s="22"/>
      <c r="L836" s="74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73"/>
      <c r="H837" s="22"/>
      <c r="I837" s="22"/>
      <c r="J837" s="22"/>
      <c r="K837" s="22"/>
      <c r="L837" s="74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73"/>
      <c r="H838" s="22"/>
      <c r="I838" s="22"/>
      <c r="J838" s="22"/>
      <c r="K838" s="22"/>
      <c r="L838" s="74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73"/>
      <c r="H839" s="22"/>
      <c r="I839" s="22"/>
      <c r="J839" s="22"/>
      <c r="K839" s="22"/>
      <c r="L839" s="74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73"/>
      <c r="H840" s="22"/>
      <c r="I840" s="22"/>
      <c r="J840" s="22"/>
      <c r="K840" s="22"/>
      <c r="L840" s="74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73"/>
      <c r="H841" s="22"/>
      <c r="I841" s="22"/>
      <c r="J841" s="22"/>
      <c r="K841" s="22"/>
      <c r="L841" s="74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73"/>
      <c r="H842" s="22"/>
      <c r="I842" s="22"/>
      <c r="J842" s="22"/>
      <c r="K842" s="22"/>
      <c r="L842" s="74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73"/>
      <c r="H843" s="22"/>
      <c r="I843" s="22"/>
      <c r="J843" s="22"/>
      <c r="K843" s="22"/>
      <c r="L843" s="74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73"/>
      <c r="H844" s="22"/>
      <c r="I844" s="22"/>
      <c r="J844" s="22"/>
      <c r="K844" s="22"/>
      <c r="L844" s="74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73"/>
      <c r="H845" s="22"/>
      <c r="I845" s="22"/>
      <c r="J845" s="22"/>
      <c r="K845" s="22"/>
      <c r="L845" s="74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73"/>
      <c r="H846" s="22"/>
      <c r="I846" s="22"/>
      <c r="J846" s="22"/>
      <c r="K846" s="22"/>
      <c r="L846" s="74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73"/>
      <c r="H847" s="22"/>
      <c r="I847" s="22"/>
      <c r="J847" s="22"/>
      <c r="K847" s="22"/>
      <c r="L847" s="74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73"/>
      <c r="H848" s="22"/>
      <c r="I848" s="22"/>
      <c r="J848" s="22"/>
      <c r="K848" s="22"/>
      <c r="L848" s="74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73"/>
      <c r="H849" s="22"/>
      <c r="I849" s="22"/>
      <c r="J849" s="22"/>
      <c r="K849" s="22"/>
      <c r="L849" s="74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73"/>
      <c r="H850" s="22"/>
      <c r="I850" s="22"/>
      <c r="J850" s="22"/>
      <c r="K850" s="22"/>
      <c r="L850" s="74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73"/>
      <c r="H851" s="22"/>
      <c r="I851" s="22"/>
      <c r="J851" s="22"/>
      <c r="K851" s="22"/>
      <c r="L851" s="74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73"/>
      <c r="H852" s="22"/>
      <c r="I852" s="22"/>
      <c r="J852" s="22"/>
      <c r="K852" s="22"/>
      <c r="L852" s="74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73"/>
      <c r="H853" s="22"/>
      <c r="I853" s="22"/>
      <c r="J853" s="22"/>
      <c r="K853" s="22"/>
      <c r="L853" s="74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73"/>
      <c r="H854" s="22"/>
      <c r="I854" s="22"/>
      <c r="J854" s="22"/>
      <c r="K854" s="22"/>
      <c r="L854" s="74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73"/>
      <c r="H855" s="22"/>
      <c r="I855" s="22"/>
      <c r="J855" s="22"/>
      <c r="K855" s="22"/>
      <c r="L855" s="74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73"/>
      <c r="H856" s="22"/>
      <c r="I856" s="22"/>
      <c r="J856" s="22"/>
      <c r="K856" s="22"/>
      <c r="L856" s="74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73"/>
      <c r="H857" s="22"/>
      <c r="I857" s="22"/>
      <c r="J857" s="22"/>
      <c r="K857" s="22"/>
      <c r="L857" s="74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73"/>
      <c r="H858" s="22"/>
      <c r="I858" s="22"/>
      <c r="J858" s="22"/>
      <c r="K858" s="22"/>
      <c r="L858" s="74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73"/>
      <c r="H859" s="22"/>
      <c r="I859" s="22"/>
      <c r="J859" s="22"/>
      <c r="K859" s="22"/>
      <c r="L859" s="74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73"/>
      <c r="H860" s="22"/>
      <c r="I860" s="22"/>
      <c r="J860" s="22"/>
      <c r="K860" s="22"/>
      <c r="L860" s="74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73"/>
      <c r="H861" s="22"/>
      <c r="I861" s="22"/>
      <c r="J861" s="22"/>
      <c r="K861" s="22"/>
      <c r="L861" s="74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73"/>
      <c r="H862" s="22"/>
      <c r="I862" s="22"/>
      <c r="J862" s="22"/>
      <c r="K862" s="22"/>
      <c r="L862" s="74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73"/>
      <c r="H863" s="22"/>
      <c r="I863" s="22"/>
      <c r="J863" s="22"/>
      <c r="K863" s="22"/>
      <c r="L863" s="74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73"/>
      <c r="H864" s="22"/>
      <c r="I864" s="22"/>
      <c r="J864" s="22"/>
      <c r="K864" s="22"/>
      <c r="L864" s="74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73"/>
      <c r="H865" s="22"/>
      <c r="I865" s="22"/>
      <c r="J865" s="22"/>
      <c r="K865" s="22"/>
      <c r="L865" s="74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73"/>
      <c r="H866" s="22"/>
      <c r="I866" s="22"/>
      <c r="J866" s="22"/>
      <c r="K866" s="22"/>
      <c r="L866" s="74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73"/>
      <c r="H867" s="22"/>
      <c r="I867" s="22"/>
      <c r="J867" s="22"/>
      <c r="K867" s="22"/>
      <c r="L867" s="74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73"/>
      <c r="H868" s="22"/>
      <c r="I868" s="22"/>
      <c r="J868" s="22"/>
      <c r="K868" s="22"/>
      <c r="L868" s="74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73"/>
      <c r="H869" s="22"/>
      <c r="I869" s="22"/>
      <c r="J869" s="22"/>
      <c r="K869" s="22"/>
      <c r="L869" s="74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73"/>
      <c r="H870" s="22"/>
      <c r="I870" s="22"/>
      <c r="J870" s="22"/>
      <c r="K870" s="22"/>
      <c r="L870" s="74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73"/>
      <c r="H871" s="22"/>
      <c r="I871" s="22"/>
      <c r="J871" s="22"/>
      <c r="K871" s="22"/>
      <c r="L871" s="74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73"/>
      <c r="H872" s="22"/>
      <c r="I872" s="22"/>
      <c r="J872" s="22"/>
      <c r="K872" s="22"/>
      <c r="L872" s="74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73"/>
      <c r="H873" s="22"/>
      <c r="I873" s="22"/>
      <c r="J873" s="22"/>
      <c r="K873" s="22"/>
      <c r="L873" s="74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73"/>
      <c r="H874" s="22"/>
      <c r="I874" s="22"/>
      <c r="J874" s="22"/>
      <c r="K874" s="22"/>
      <c r="L874" s="74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73"/>
      <c r="H875" s="22"/>
      <c r="I875" s="22"/>
      <c r="J875" s="22"/>
      <c r="K875" s="22"/>
      <c r="L875" s="74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73"/>
      <c r="H876" s="22"/>
      <c r="I876" s="22"/>
      <c r="J876" s="22"/>
      <c r="K876" s="22"/>
      <c r="L876" s="74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73"/>
      <c r="H877" s="22"/>
      <c r="I877" s="22"/>
      <c r="J877" s="22"/>
      <c r="K877" s="22"/>
      <c r="L877" s="74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73"/>
      <c r="H878" s="22"/>
      <c r="I878" s="22"/>
      <c r="J878" s="22"/>
      <c r="K878" s="22"/>
      <c r="L878" s="74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73"/>
      <c r="H879" s="22"/>
      <c r="I879" s="22"/>
      <c r="J879" s="22"/>
      <c r="K879" s="22"/>
      <c r="L879" s="74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73"/>
      <c r="H880" s="22"/>
      <c r="I880" s="22"/>
      <c r="J880" s="22"/>
      <c r="K880" s="22"/>
      <c r="L880" s="74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73"/>
      <c r="H881" s="22"/>
      <c r="I881" s="22"/>
      <c r="J881" s="22"/>
      <c r="K881" s="22"/>
      <c r="L881" s="74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73"/>
      <c r="H882" s="22"/>
      <c r="I882" s="22"/>
      <c r="J882" s="22"/>
      <c r="K882" s="22"/>
      <c r="L882" s="74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73"/>
      <c r="H883" s="22"/>
      <c r="I883" s="22"/>
      <c r="J883" s="22"/>
      <c r="K883" s="22"/>
      <c r="L883" s="74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73"/>
      <c r="H884" s="22"/>
      <c r="I884" s="22"/>
      <c r="J884" s="22"/>
      <c r="K884" s="22"/>
      <c r="L884" s="74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73"/>
      <c r="H885" s="22"/>
      <c r="I885" s="22"/>
      <c r="J885" s="22"/>
      <c r="K885" s="22"/>
      <c r="L885" s="74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73"/>
      <c r="H886" s="22"/>
      <c r="I886" s="22"/>
      <c r="J886" s="22"/>
      <c r="K886" s="22"/>
      <c r="L886" s="74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73"/>
      <c r="H887" s="22"/>
      <c r="I887" s="22"/>
      <c r="J887" s="22"/>
      <c r="K887" s="22"/>
      <c r="L887" s="74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73"/>
      <c r="H888" s="22"/>
      <c r="I888" s="22"/>
      <c r="J888" s="22"/>
      <c r="K888" s="22"/>
      <c r="L888" s="74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73"/>
      <c r="H889" s="22"/>
      <c r="I889" s="22"/>
      <c r="J889" s="22"/>
      <c r="K889" s="22"/>
      <c r="L889" s="74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73"/>
      <c r="H890" s="22"/>
      <c r="I890" s="22"/>
      <c r="J890" s="22"/>
      <c r="K890" s="22"/>
      <c r="L890" s="74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73"/>
      <c r="H891" s="22"/>
      <c r="I891" s="22"/>
      <c r="J891" s="22"/>
      <c r="K891" s="22"/>
      <c r="L891" s="74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73"/>
      <c r="H892" s="22"/>
      <c r="I892" s="22"/>
      <c r="J892" s="22"/>
      <c r="K892" s="22"/>
      <c r="L892" s="74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73"/>
      <c r="H893" s="22"/>
      <c r="I893" s="22"/>
      <c r="J893" s="22"/>
      <c r="K893" s="22"/>
      <c r="L893" s="74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73"/>
      <c r="H894" s="22"/>
      <c r="I894" s="22"/>
      <c r="J894" s="22"/>
      <c r="K894" s="22"/>
      <c r="L894" s="74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73"/>
      <c r="H895" s="22"/>
      <c r="I895" s="22"/>
      <c r="J895" s="22"/>
      <c r="K895" s="22"/>
      <c r="L895" s="74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73"/>
      <c r="H896" s="22"/>
      <c r="I896" s="22"/>
      <c r="J896" s="22"/>
      <c r="K896" s="22"/>
      <c r="L896" s="74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73"/>
      <c r="H897" s="22"/>
      <c r="I897" s="22"/>
      <c r="J897" s="22"/>
      <c r="K897" s="22"/>
      <c r="L897" s="74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73"/>
      <c r="H898" s="22"/>
      <c r="I898" s="22"/>
      <c r="J898" s="22"/>
      <c r="K898" s="22"/>
      <c r="L898" s="74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73"/>
      <c r="H899" s="22"/>
      <c r="I899" s="22"/>
      <c r="J899" s="22"/>
      <c r="K899" s="22"/>
      <c r="L899" s="74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73"/>
      <c r="H900" s="22"/>
      <c r="I900" s="22"/>
      <c r="J900" s="22"/>
      <c r="K900" s="22"/>
      <c r="L900" s="74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73"/>
      <c r="H901" s="22"/>
      <c r="I901" s="22"/>
      <c r="J901" s="22"/>
      <c r="K901" s="22"/>
      <c r="L901" s="74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73"/>
      <c r="H902" s="22"/>
      <c r="I902" s="22"/>
      <c r="J902" s="22"/>
      <c r="K902" s="22"/>
      <c r="L902" s="74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73"/>
      <c r="H903" s="22"/>
      <c r="I903" s="22"/>
      <c r="J903" s="22"/>
      <c r="K903" s="22"/>
      <c r="L903" s="74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73"/>
      <c r="H904" s="22"/>
      <c r="I904" s="22"/>
      <c r="J904" s="22"/>
      <c r="K904" s="22"/>
      <c r="L904" s="74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73"/>
      <c r="H905" s="22"/>
      <c r="I905" s="22"/>
      <c r="J905" s="22"/>
      <c r="K905" s="22"/>
      <c r="L905" s="74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73"/>
      <c r="H906" s="22"/>
      <c r="I906" s="22"/>
      <c r="J906" s="22"/>
      <c r="K906" s="22"/>
      <c r="L906" s="74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73"/>
      <c r="H907" s="22"/>
      <c r="I907" s="22"/>
      <c r="J907" s="22"/>
      <c r="K907" s="22"/>
      <c r="L907" s="74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73"/>
      <c r="H908" s="22"/>
      <c r="I908" s="22"/>
      <c r="J908" s="22"/>
      <c r="K908" s="22"/>
      <c r="L908" s="74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73"/>
      <c r="H909" s="22"/>
      <c r="I909" s="22"/>
      <c r="J909" s="22"/>
      <c r="K909" s="22"/>
      <c r="L909" s="74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73"/>
      <c r="H910" s="22"/>
      <c r="I910" s="22"/>
      <c r="J910" s="22"/>
      <c r="K910" s="22"/>
      <c r="L910" s="74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73"/>
      <c r="H911" s="22"/>
      <c r="I911" s="22"/>
      <c r="J911" s="22"/>
      <c r="K911" s="22"/>
      <c r="L911" s="74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73"/>
      <c r="H912" s="22"/>
      <c r="I912" s="22"/>
      <c r="J912" s="22"/>
      <c r="K912" s="22"/>
      <c r="L912" s="74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73"/>
      <c r="H913" s="22"/>
      <c r="I913" s="22"/>
      <c r="J913" s="22"/>
      <c r="K913" s="22"/>
      <c r="L913" s="74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73"/>
      <c r="H914" s="22"/>
      <c r="I914" s="22"/>
      <c r="J914" s="22"/>
      <c r="K914" s="22"/>
      <c r="L914" s="74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73"/>
      <c r="H915" s="22"/>
      <c r="I915" s="22"/>
      <c r="J915" s="22"/>
      <c r="K915" s="22"/>
      <c r="L915" s="74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73"/>
      <c r="H916" s="22"/>
      <c r="I916" s="22"/>
      <c r="J916" s="22"/>
      <c r="K916" s="22"/>
      <c r="L916" s="74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73"/>
      <c r="H917" s="22"/>
      <c r="I917" s="22"/>
      <c r="J917" s="22"/>
      <c r="K917" s="22"/>
      <c r="L917" s="74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73"/>
      <c r="H918" s="22"/>
      <c r="I918" s="22"/>
      <c r="J918" s="22"/>
      <c r="K918" s="22"/>
      <c r="L918" s="74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73"/>
      <c r="H919" s="22"/>
      <c r="I919" s="22"/>
      <c r="J919" s="22"/>
      <c r="K919" s="22"/>
      <c r="L919" s="74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73"/>
      <c r="H920" s="22"/>
      <c r="I920" s="22"/>
      <c r="J920" s="22"/>
      <c r="K920" s="22"/>
      <c r="L920" s="74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73"/>
      <c r="H921" s="22"/>
      <c r="I921" s="22"/>
      <c r="J921" s="22"/>
      <c r="K921" s="22"/>
      <c r="L921" s="74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73"/>
      <c r="H922" s="22"/>
      <c r="I922" s="22"/>
      <c r="J922" s="22"/>
      <c r="K922" s="22"/>
      <c r="L922" s="74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73"/>
      <c r="H923" s="22"/>
      <c r="I923" s="22"/>
      <c r="J923" s="22"/>
      <c r="K923" s="22"/>
      <c r="L923" s="74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73"/>
      <c r="H924" s="22"/>
      <c r="I924" s="22"/>
      <c r="J924" s="22"/>
      <c r="K924" s="22"/>
      <c r="L924" s="74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73"/>
      <c r="H925" s="22"/>
      <c r="I925" s="22"/>
      <c r="J925" s="22"/>
      <c r="K925" s="22"/>
      <c r="L925" s="74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73"/>
      <c r="H926" s="22"/>
      <c r="I926" s="22"/>
      <c r="J926" s="22"/>
      <c r="K926" s="22"/>
      <c r="L926" s="74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73"/>
      <c r="H927" s="22"/>
      <c r="I927" s="22"/>
      <c r="J927" s="22"/>
      <c r="K927" s="22"/>
      <c r="L927" s="74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73"/>
      <c r="H928" s="22"/>
      <c r="I928" s="22"/>
      <c r="J928" s="22"/>
      <c r="K928" s="22"/>
      <c r="L928" s="74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73"/>
      <c r="H929" s="22"/>
      <c r="I929" s="22"/>
      <c r="J929" s="22"/>
      <c r="K929" s="22"/>
      <c r="L929" s="74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73"/>
      <c r="H930" s="22"/>
      <c r="I930" s="22"/>
      <c r="J930" s="22"/>
      <c r="K930" s="22"/>
      <c r="L930" s="74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73"/>
      <c r="H931" s="22"/>
      <c r="I931" s="22"/>
      <c r="J931" s="22"/>
      <c r="K931" s="22"/>
      <c r="L931" s="74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73"/>
      <c r="H932" s="22"/>
      <c r="I932" s="22"/>
      <c r="J932" s="22"/>
      <c r="K932" s="22"/>
      <c r="L932" s="74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73"/>
      <c r="H933" s="22"/>
      <c r="I933" s="22"/>
      <c r="J933" s="22"/>
      <c r="K933" s="22"/>
      <c r="L933" s="74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73"/>
      <c r="H934" s="22"/>
      <c r="I934" s="22"/>
      <c r="J934" s="22"/>
      <c r="K934" s="22"/>
      <c r="L934" s="74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73"/>
      <c r="H935" s="22"/>
      <c r="I935" s="22"/>
      <c r="J935" s="22"/>
      <c r="K935" s="22"/>
      <c r="L935" s="74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73"/>
      <c r="H936" s="22"/>
      <c r="I936" s="22"/>
      <c r="J936" s="22"/>
      <c r="K936" s="22"/>
      <c r="L936" s="74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73"/>
      <c r="H937" s="22"/>
      <c r="I937" s="22"/>
      <c r="J937" s="22"/>
      <c r="K937" s="22"/>
      <c r="L937" s="74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73"/>
      <c r="H938" s="22"/>
      <c r="I938" s="22"/>
      <c r="J938" s="22"/>
      <c r="K938" s="22"/>
      <c r="L938" s="74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73"/>
      <c r="H939" s="22"/>
      <c r="I939" s="22"/>
      <c r="J939" s="22"/>
      <c r="K939" s="22"/>
      <c r="L939" s="74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73"/>
      <c r="H940" s="22"/>
      <c r="I940" s="22"/>
      <c r="J940" s="22"/>
      <c r="K940" s="22"/>
      <c r="L940" s="74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73"/>
      <c r="H941" s="22"/>
      <c r="I941" s="22"/>
      <c r="J941" s="22"/>
      <c r="K941" s="22"/>
      <c r="L941" s="74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73"/>
      <c r="H942" s="22"/>
      <c r="I942" s="22"/>
      <c r="J942" s="22"/>
      <c r="K942" s="22"/>
      <c r="L942" s="74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73"/>
      <c r="H943" s="22"/>
      <c r="I943" s="22"/>
      <c r="J943" s="22"/>
      <c r="K943" s="22"/>
      <c r="L943" s="74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73"/>
      <c r="H944" s="22"/>
      <c r="I944" s="22"/>
      <c r="J944" s="22"/>
      <c r="K944" s="22"/>
      <c r="L944" s="74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73"/>
      <c r="H945" s="22"/>
      <c r="I945" s="22"/>
      <c r="J945" s="22"/>
      <c r="K945" s="22"/>
      <c r="L945" s="74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73"/>
      <c r="H946" s="22"/>
      <c r="I946" s="22"/>
      <c r="J946" s="22"/>
      <c r="K946" s="22"/>
      <c r="L946" s="74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73"/>
      <c r="H947" s="22"/>
      <c r="I947" s="22"/>
      <c r="J947" s="22"/>
      <c r="K947" s="22"/>
      <c r="L947" s="74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73"/>
      <c r="H948" s="22"/>
      <c r="I948" s="22"/>
      <c r="J948" s="22"/>
      <c r="K948" s="22"/>
      <c r="L948" s="74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73"/>
      <c r="H949" s="22"/>
      <c r="I949" s="22"/>
      <c r="J949" s="22"/>
      <c r="K949" s="22"/>
      <c r="L949" s="74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73"/>
      <c r="H950" s="22"/>
      <c r="I950" s="22"/>
      <c r="J950" s="22"/>
      <c r="K950" s="22"/>
      <c r="L950" s="74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73"/>
      <c r="H951" s="22"/>
      <c r="I951" s="22"/>
      <c r="J951" s="22"/>
      <c r="K951" s="22"/>
      <c r="L951" s="74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73"/>
      <c r="H952" s="22"/>
      <c r="I952" s="22"/>
      <c r="J952" s="22"/>
      <c r="K952" s="22"/>
      <c r="L952" s="74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73"/>
      <c r="H953" s="22"/>
      <c r="I953" s="22"/>
      <c r="J953" s="22"/>
      <c r="K953" s="22"/>
      <c r="L953" s="74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73"/>
      <c r="H954" s="22"/>
      <c r="I954" s="22"/>
      <c r="J954" s="22"/>
      <c r="K954" s="22"/>
      <c r="L954" s="74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73"/>
      <c r="H955" s="22"/>
      <c r="I955" s="22"/>
      <c r="J955" s="22"/>
      <c r="K955" s="22"/>
      <c r="L955" s="74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73"/>
      <c r="H956" s="22"/>
      <c r="I956" s="22"/>
      <c r="J956" s="22"/>
      <c r="K956" s="22"/>
      <c r="L956" s="74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73"/>
      <c r="H957" s="22"/>
      <c r="I957" s="22"/>
      <c r="J957" s="22"/>
      <c r="K957" s="22"/>
      <c r="L957" s="74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73"/>
      <c r="H958" s="22"/>
      <c r="I958" s="22"/>
      <c r="J958" s="22"/>
      <c r="K958" s="22"/>
      <c r="L958" s="74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73"/>
      <c r="H959" s="22"/>
      <c r="I959" s="22"/>
      <c r="J959" s="22"/>
      <c r="K959" s="22"/>
      <c r="L959" s="74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B960" s="22"/>
      <c r="G960" s="88"/>
      <c r="J960" s="89"/>
      <c r="L960" s="90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B961" s="22"/>
      <c r="G961" s="88"/>
      <c r="J961" s="89"/>
      <c r="L961" s="90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B962" s="22"/>
      <c r="G962" s="88"/>
      <c r="J962" s="89"/>
      <c r="L962" s="90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B963" s="22"/>
      <c r="G963" s="88"/>
      <c r="J963" s="89"/>
      <c r="L963" s="90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B964" s="22"/>
      <c r="G964" s="88"/>
      <c r="J964" s="89"/>
      <c r="L964" s="90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B965" s="22"/>
      <c r="G965" s="88"/>
      <c r="J965" s="89"/>
      <c r="L965" s="90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B966" s="22"/>
      <c r="G966" s="88"/>
      <c r="J966" s="89"/>
      <c r="L966" s="90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B967" s="22"/>
      <c r="G967" s="88"/>
      <c r="J967" s="89"/>
      <c r="L967" s="90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B968" s="22"/>
      <c r="G968" s="88"/>
      <c r="J968" s="89"/>
      <c r="L968" s="90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B969" s="22"/>
      <c r="G969" s="88"/>
      <c r="J969" s="89"/>
      <c r="L969" s="90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B970" s="22"/>
      <c r="G970" s="88"/>
      <c r="J970" s="89"/>
      <c r="L970" s="90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B971" s="22"/>
      <c r="G971" s="88"/>
      <c r="J971" s="89"/>
      <c r="L971" s="90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B972" s="22"/>
      <c r="G972" s="88"/>
      <c r="J972" s="89"/>
      <c r="L972" s="90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B973" s="22"/>
      <c r="G973" s="88"/>
      <c r="J973" s="89"/>
      <c r="L973" s="90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B974" s="22"/>
      <c r="G974" s="88"/>
      <c r="J974" s="89"/>
      <c r="L974" s="90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B975" s="22"/>
      <c r="G975" s="88"/>
      <c r="J975" s="89"/>
      <c r="L975" s="90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B976" s="22"/>
      <c r="G976" s="88"/>
      <c r="J976" s="89"/>
      <c r="L976" s="90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B977" s="22"/>
      <c r="G977" s="88"/>
      <c r="J977" s="89"/>
      <c r="L977" s="90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B978" s="22"/>
      <c r="G978" s="88"/>
      <c r="J978" s="89"/>
      <c r="L978" s="90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</sheetData>
  <autoFilter ref="$A$1:$N$209">
    <sortState ref="A1:N209">
      <sortCondition ref="N1:N209"/>
    </sortState>
  </autoFilter>
  <dataValidations>
    <dataValidation type="list" allowBlank="1" showErrorMessage="1" sqref="H2:H209">
      <formula1>"YES,NO"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8.29"/>
    <col customWidth="1" min="3" max="3" width="8.57"/>
    <col customWidth="1" min="4" max="4" width="7.0"/>
    <col customWidth="1" min="5" max="5" width="28.71"/>
    <col customWidth="1" min="6" max="6" width="60.86"/>
    <col customWidth="1" min="7" max="7" width="11.0"/>
  </cols>
  <sheetData>
    <row r="1">
      <c r="A1" s="33" t="s">
        <v>4</v>
      </c>
      <c r="B1" s="33" t="s">
        <v>5</v>
      </c>
      <c r="C1" s="33" t="s">
        <v>6</v>
      </c>
      <c r="D1" s="33" t="s">
        <v>15</v>
      </c>
      <c r="E1" s="33" t="s">
        <v>8</v>
      </c>
      <c r="F1" s="65" t="s">
        <v>11</v>
      </c>
      <c r="G1" s="10" t="s">
        <v>14</v>
      </c>
      <c r="H1" s="13" t="s">
        <v>311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33" t="s">
        <v>163</v>
      </c>
      <c r="B2" s="66"/>
      <c r="C2" s="33" t="s">
        <v>49</v>
      </c>
      <c r="D2" s="33">
        <v>320.0</v>
      </c>
      <c r="E2" s="33" t="s">
        <v>295</v>
      </c>
      <c r="F2" s="67" t="s">
        <v>312</v>
      </c>
      <c r="G2" s="36" t="s">
        <v>315</v>
      </c>
      <c r="H2" s="68">
        <v>1.0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3" t="s">
        <v>164</v>
      </c>
      <c r="B3" s="66"/>
      <c r="C3" s="33" t="s">
        <v>49</v>
      </c>
      <c r="D3" s="33">
        <v>320.0</v>
      </c>
      <c r="E3" s="33" t="s">
        <v>295</v>
      </c>
      <c r="F3" s="67" t="s">
        <v>318</v>
      </c>
      <c r="G3" s="36" t="s">
        <v>315</v>
      </c>
      <c r="H3" s="68">
        <v>1.0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3" t="s">
        <v>165</v>
      </c>
      <c r="B4" s="66"/>
      <c r="C4" s="33" t="s">
        <v>49</v>
      </c>
      <c r="D4" s="33">
        <v>320.0</v>
      </c>
      <c r="E4" s="33" t="s">
        <v>295</v>
      </c>
      <c r="F4" s="69" t="s">
        <v>321</v>
      </c>
      <c r="G4" s="36" t="s">
        <v>315</v>
      </c>
      <c r="H4" s="68">
        <v>1.0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3" t="s">
        <v>166</v>
      </c>
      <c r="B5" s="66"/>
      <c r="C5" s="33" t="s">
        <v>49</v>
      </c>
      <c r="D5" s="33">
        <v>320.0</v>
      </c>
      <c r="E5" s="33" t="s">
        <v>295</v>
      </c>
      <c r="F5" s="67" t="s">
        <v>324</v>
      </c>
      <c r="G5" s="36" t="s">
        <v>326</v>
      </c>
      <c r="H5" s="68">
        <v>1.0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3" t="s">
        <v>95</v>
      </c>
      <c r="B6" s="33" t="e">
        <v>#N/A</v>
      </c>
      <c r="C6" s="33" t="s">
        <v>49</v>
      </c>
      <c r="D6" s="66"/>
      <c r="E6" s="66"/>
      <c r="F6" s="70"/>
      <c r="G6" s="71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3" t="s">
        <v>328</v>
      </c>
      <c r="B7" s="66"/>
      <c r="C7" s="33" t="s">
        <v>49</v>
      </c>
      <c r="D7" s="33">
        <v>48.0</v>
      </c>
      <c r="E7" s="33" t="s">
        <v>51</v>
      </c>
      <c r="F7" s="69" t="s">
        <v>329</v>
      </c>
      <c r="G7" s="36" t="s">
        <v>332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3" t="s">
        <v>333</v>
      </c>
      <c r="B8" s="66"/>
      <c r="C8" s="33" t="s">
        <v>49</v>
      </c>
      <c r="D8" s="33">
        <v>48.0</v>
      </c>
      <c r="E8" s="33" t="s">
        <v>51</v>
      </c>
      <c r="F8" s="69" t="s">
        <v>334</v>
      </c>
      <c r="G8" s="36" t="s">
        <v>332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3" t="s">
        <v>337</v>
      </c>
      <c r="B9" s="66"/>
      <c r="C9" s="33" t="s">
        <v>49</v>
      </c>
      <c r="D9" s="33">
        <v>48.0</v>
      </c>
      <c r="E9" s="33" t="s">
        <v>51</v>
      </c>
      <c r="F9" s="69" t="s">
        <v>338</v>
      </c>
      <c r="G9" s="36" t="s">
        <v>332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3" t="s">
        <v>341</v>
      </c>
      <c r="B10" s="66"/>
      <c r="C10" s="33" t="s">
        <v>49</v>
      </c>
      <c r="D10" s="33">
        <v>48.0</v>
      </c>
      <c r="E10" s="33" t="s">
        <v>51</v>
      </c>
      <c r="F10" s="69" t="s">
        <v>342</v>
      </c>
      <c r="G10" s="36" t="s">
        <v>332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3" t="s">
        <v>345</v>
      </c>
      <c r="B11" s="66"/>
      <c r="C11" s="33" t="s">
        <v>49</v>
      </c>
      <c r="D11" s="33">
        <v>450.0</v>
      </c>
      <c r="E11" s="33" t="s">
        <v>295</v>
      </c>
      <c r="F11" s="67" t="s">
        <v>346</v>
      </c>
      <c r="G11" s="71"/>
      <c r="H11" s="71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3" t="s">
        <v>349</v>
      </c>
      <c r="B12" s="66"/>
      <c r="C12" s="33" t="s">
        <v>49</v>
      </c>
      <c r="D12" s="33">
        <v>550.0</v>
      </c>
      <c r="E12" s="33" t="s">
        <v>295</v>
      </c>
      <c r="F12" s="67" t="s">
        <v>351</v>
      </c>
      <c r="G12" s="71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3" t="s">
        <v>353</v>
      </c>
      <c r="B13" s="66"/>
      <c r="C13" s="33" t="s">
        <v>49</v>
      </c>
      <c r="D13" s="33">
        <v>48.0</v>
      </c>
      <c r="E13" s="33" t="s">
        <v>51</v>
      </c>
      <c r="F13" s="69" t="s">
        <v>354</v>
      </c>
      <c r="G13" s="36" t="s">
        <v>332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3" t="s">
        <v>357</v>
      </c>
      <c r="B14" s="66"/>
      <c r="C14" s="33" t="s">
        <v>49</v>
      </c>
      <c r="D14" s="33">
        <v>48.0</v>
      </c>
      <c r="E14" s="33" t="s">
        <v>51</v>
      </c>
      <c r="F14" s="69" t="s">
        <v>359</v>
      </c>
      <c r="G14" s="36" t="s">
        <v>332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3" t="s">
        <v>360</v>
      </c>
      <c r="B15" s="66"/>
      <c r="C15" s="33" t="s">
        <v>49</v>
      </c>
      <c r="D15" s="33">
        <v>48.0</v>
      </c>
      <c r="E15" s="33" t="s">
        <v>51</v>
      </c>
      <c r="F15" s="69" t="s">
        <v>361</v>
      </c>
      <c r="G15" s="36" t="s">
        <v>332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3" t="s">
        <v>364</v>
      </c>
      <c r="B16" s="66"/>
      <c r="C16" s="33" t="s">
        <v>49</v>
      </c>
      <c r="D16" s="33">
        <v>48.0</v>
      </c>
      <c r="E16" s="33" t="s">
        <v>51</v>
      </c>
      <c r="F16" s="69" t="s">
        <v>365</v>
      </c>
      <c r="G16" s="36" t="s">
        <v>332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3" t="s">
        <v>368</v>
      </c>
      <c r="B17" s="66"/>
      <c r="C17" s="33" t="s">
        <v>49</v>
      </c>
      <c r="D17" s="33">
        <v>83.0</v>
      </c>
      <c r="E17" s="33" t="s">
        <v>51</v>
      </c>
      <c r="F17" s="69" t="s">
        <v>369</v>
      </c>
      <c r="G17" s="36" t="s">
        <v>370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3" t="s">
        <v>372</v>
      </c>
      <c r="B18" s="33" t="e">
        <v>#N/A</v>
      </c>
      <c r="C18" s="33" t="s">
        <v>49</v>
      </c>
      <c r="D18" s="66"/>
      <c r="E18" s="33" t="s">
        <v>51</v>
      </c>
      <c r="F18" s="69" t="s">
        <v>373</v>
      </c>
      <c r="G18" s="71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3" t="s">
        <v>376</v>
      </c>
      <c r="B19" s="66"/>
      <c r="C19" s="33" t="s">
        <v>49</v>
      </c>
      <c r="D19" s="33">
        <v>83.0</v>
      </c>
      <c r="E19" s="33" t="s">
        <v>51</v>
      </c>
      <c r="F19" s="69" t="s">
        <v>377</v>
      </c>
      <c r="G19" s="36" t="s">
        <v>370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3" t="s">
        <v>380</v>
      </c>
      <c r="B20" s="66"/>
      <c r="C20" s="33" t="s">
        <v>49</v>
      </c>
      <c r="D20" s="33">
        <v>93.0</v>
      </c>
      <c r="E20" s="33" t="s">
        <v>51</v>
      </c>
      <c r="F20" s="69" t="s">
        <v>381</v>
      </c>
      <c r="G20" s="36" t="s">
        <v>385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3" t="s">
        <v>386</v>
      </c>
      <c r="B21" s="66"/>
      <c r="C21" s="33" t="s">
        <v>49</v>
      </c>
      <c r="D21" s="33">
        <v>83.0</v>
      </c>
      <c r="E21" s="33" t="s">
        <v>51</v>
      </c>
      <c r="F21" s="69" t="s">
        <v>387</v>
      </c>
      <c r="G21" s="36" t="s">
        <v>370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3" t="s">
        <v>390</v>
      </c>
      <c r="B22" s="66"/>
      <c r="C22" s="33" t="s">
        <v>49</v>
      </c>
      <c r="D22" s="33">
        <v>93.0</v>
      </c>
      <c r="E22" s="33" t="s">
        <v>51</v>
      </c>
      <c r="F22" s="69" t="s">
        <v>391</v>
      </c>
      <c r="G22" s="36" t="s">
        <v>385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3" t="s">
        <v>394</v>
      </c>
      <c r="B23" s="33" t="e">
        <v>#N/A</v>
      </c>
      <c r="C23" s="33" t="s">
        <v>49</v>
      </c>
      <c r="D23" s="66"/>
      <c r="E23" s="33" t="s">
        <v>51</v>
      </c>
      <c r="F23" s="69" t="s">
        <v>395</v>
      </c>
      <c r="G23" s="71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3" t="s">
        <v>399</v>
      </c>
      <c r="B24" s="33" t="e">
        <v>#N/A</v>
      </c>
      <c r="C24" s="33" t="s">
        <v>49</v>
      </c>
      <c r="D24" s="66"/>
      <c r="E24" s="33" t="s">
        <v>51</v>
      </c>
      <c r="F24" s="69" t="s">
        <v>400</v>
      </c>
      <c r="G24" s="71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33" t="s">
        <v>402</v>
      </c>
      <c r="B25" s="66"/>
      <c r="C25" s="33" t="s">
        <v>49</v>
      </c>
      <c r="D25" s="33">
        <v>83.0</v>
      </c>
      <c r="E25" s="33" t="s">
        <v>51</v>
      </c>
      <c r="F25" s="69" t="s">
        <v>403</v>
      </c>
      <c r="G25" s="36" t="s">
        <v>370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33" t="s">
        <v>406</v>
      </c>
      <c r="B26" s="66"/>
      <c r="C26" s="33" t="s">
        <v>49</v>
      </c>
      <c r="D26" s="33">
        <v>93.0</v>
      </c>
      <c r="E26" s="33" t="s">
        <v>51</v>
      </c>
      <c r="F26" s="69" t="s">
        <v>407</v>
      </c>
      <c r="G26" s="36" t="s">
        <v>385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3" t="s">
        <v>408</v>
      </c>
      <c r="B27" s="66"/>
      <c r="C27" s="33" t="s">
        <v>49</v>
      </c>
      <c r="D27" s="33">
        <v>83.0</v>
      </c>
      <c r="E27" s="33" t="s">
        <v>51</v>
      </c>
      <c r="F27" s="69" t="s">
        <v>410</v>
      </c>
      <c r="G27" s="36" t="s">
        <v>370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33" t="s">
        <v>412</v>
      </c>
      <c r="B28" s="66"/>
      <c r="C28" s="33" t="s">
        <v>49</v>
      </c>
      <c r="D28" s="33">
        <v>93.0</v>
      </c>
      <c r="E28" s="33" t="s">
        <v>51</v>
      </c>
      <c r="F28" s="69" t="s">
        <v>413</v>
      </c>
      <c r="G28" s="36" t="s">
        <v>385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33" t="s">
        <v>415</v>
      </c>
      <c r="B29" s="66"/>
      <c r="C29" s="33" t="s">
        <v>49</v>
      </c>
      <c r="D29" s="33">
        <v>83.0</v>
      </c>
      <c r="E29" s="33" t="s">
        <v>51</v>
      </c>
      <c r="F29" s="69" t="s">
        <v>416</v>
      </c>
      <c r="G29" s="36" t="s">
        <v>370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 t="s">
        <v>418</v>
      </c>
      <c r="B30" s="66"/>
      <c r="C30" s="33" t="s">
        <v>49</v>
      </c>
      <c r="D30" s="33">
        <v>93.0</v>
      </c>
      <c r="E30" s="33" t="s">
        <v>51</v>
      </c>
      <c r="F30" s="69" t="s">
        <v>419</v>
      </c>
      <c r="G30" s="36" t="s">
        <v>315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3" t="s">
        <v>421</v>
      </c>
      <c r="B31" s="66"/>
      <c r="C31" s="33" t="s">
        <v>49</v>
      </c>
      <c r="D31" s="33">
        <v>130.0</v>
      </c>
      <c r="E31" s="33" t="s">
        <v>51</v>
      </c>
      <c r="F31" s="69" t="s">
        <v>422</v>
      </c>
      <c r="G31" s="36" t="s">
        <v>425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3" t="s">
        <v>426</v>
      </c>
      <c r="B32" s="66"/>
      <c r="C32" s="33" t="s">
        <v>49</v>
      </c>
      <c r="D32" s="33">
        <v>83.0</v>
      </c>
      <c r="E32" s="33" t="s">
        <v>51</v>
      </c>
      <c r="F32" s="69" t="s">
        <v>427</v>
      </c>
      <c r="G32" s="36" t="s">
        <v>326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33" t="s">
        <v>428</v>
      </c>
      <c r="B33" s="66"/>
      <c r="C33" s="33" t="s">
        <v>49</v>
      </c>
      <c r="D33" s="33">
        <v>93.0</v>
      </c>
      <c r="E33" s="33" t="s">
        <v>51</v>
      </c>
      <c r="F33" s="69" t="s">
        <v>429</v>
      </c>
      <c r="G33" s="36" t="s">
        <v>315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33" t="s">
        <v>431</v>
      </c>
      <c r="B34" s="66"/>
      <c r="C34" s="33" t="s">
        <v>49</v>
      </c>
      <c r="D34" s="33">
        <v>130.0</v>
      </c>
      <c r="E34" s="33" t="s">
        <v>51</v>
      </c>
      <c r="F34" s="69" t="s">
        <v>432</v>
      </c>
      <c r="G34" s="36" t="s">
        <v>425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33" t="s">
        <v>434</v>
      </c>
      <c r="B35" s="66"/>
      <c r="C35" s="33" t="s">
        <v>49</v>
      </c>
      <c r="D35" s="33">
        <v>83.0</v>
      </c>
      <c r="E35" s="33" t="s">
        <v>51</v>
      </c>
      <c r="F35" s="69" t="s">
        <v>435</v>
      </c>
      <c r="G35" s="36" t="s">
        <v>326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33" t="s">
        <v>437</v>
      </c>
      <c r="B36" s="33" t="e">
        <v>#N/A</v>
      </c>
      <c r="C36" s="33" t="s">
        <v>49</v>
      </c>
      <c r="D36" s="66"/>
      <c r="E36" s="33" t="s">
        <v>51</v>
      </c>
      <c r="F36" s="69" t="s">
        <v>438</v>
      </c>
      <c r="G36" s="71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33" t="s">
        <v>441</v>
      </c>
      <c r="B37" s="33" t="e">
        <v>#N/A</v>
      </c>
      <c r="C37" s="33" t="s">
        <v>49</v>
      </c>
      <c r="D37" s="66"/>
      <c r="E37" s="33" t="s">
        <v>51</v>
      </c>
      <c r="F37" s="69" t="s">
        <v>442</v>
      </c>
      <c r="G37" s="71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33" t="s">
        <v>444</v>
      </c>
      <c r="B38" s="66"/>
      <c r="C38" s="33" t="s">
        <v>49</v>
      </c>
      <c r="D38" s="33">
        <v>93.0</v>
      </c>
      <c r="E38" s="33" t="s">
        <v>51</v>
      </c>
      <c r="F38" s="69" t="s">
        <v>445</v>
      </c>
      <c r="G38" s="36" t="s">
        <v>315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33" t="s">
        <v>447</v>
      </c>
      <c r="B39" s="66"/>
      <c r="C39" s="33" t="s">
        <v>49</v>
      </c>
      <c r="D39" s="33">
        <v>130.0</v>
      </c>
      <c r="E39" s="33" t="s">
        <v>51</v>
      </c>
      <c r="F39" s="69" t="s">
        <v>448</v>
      </c>
      <c r="G39" s="36" t="s">
        <v>425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33" t="s">
        <v>450</v>
      </c>
      <c r="B40" s="66"/>
      <c r="C40" s="33" t="s">
        <v>49</v>
      </c>
      <c r="D40" s="33">
        <v>83.0</v>
      </c>
      <c r="E40" s="33" t="s">
        <v>51</v>
      </c>
      <c r="F40" s="69" t="s">
        <v>451</v>
      </c>
      <c r="G40" s="36" t="s">
        <v>326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33" t="s">
        <v>454</v>
      </c>
      <c r="B41" s="66"/>
      <c r="C41" s="33" t="s">
        <v>49</v>
      </c>
      <c r="D41" s="33">
        <v>93.0</v>
      </c>
      <c r="E41" s="33" t="s">
        <v>51</v>
      </c>
      <c r="F41" s="69" t="s">
        <v>455</v>
      </c>
      <c r="G41" s="36" t="s">
        <v>315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33" t="s">
        <v>458</v>
      </c>
      <c r="B42" s="66"/>
      <c r="C42" s="33" t="s">
        <v>49</v>
      </c>
      <c r="D42" s="33">
        <v>130.0</v>
      </c>
      <c r="E42" s="33" t="s">
        <v>51</v>
      </c>
      <c r="F42" s="69" t="s">
        <v>459</v>
      </c>
      <c r="G42" s="36" t="s">
        <v>425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33" t="s">
        <v>461</v>
      </c>
      <c r="B43" s="66"/>
      <c r="C43" s="33" t="s">
        <v>49</v>
      </c>
      <c r="D43" s="33">
        <v>83.0</v>
      </c>
      <c r="E43" s="33" t="s">
        <v>51</v>
      </c>
      <c r="F43" s="69" t="s">
        <v>462</v>
      </c>
      <c r="G43" s="36" t="s">
        <v>326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33" t="s">
        <v>466</v>
      </c>
      <c r="B44" s="66"/>
      <c r="C44" s="33" t="s">
        <v>49</v>
      </c>
      <c r="D44" s="33">
        <v>93.0</v>
      </c>
      <c r="E44" s="33" t="s">
        <v>51</v>
      </c>
      <c r="F44" s="69" t="s">
        <v>468</v>
      </c>
      <c r="G44" s="36" t="s">
        <v>315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33" t="s">
        <v>469</v>
      </c>
      <c r="B45" s="66"/>
      <c r="C45" s="33" t="s">
        <v>49</v>
      </c>
      <c r="D45" s="33">
        <v>130.0</v>
      </c>
      <c r="E45" s="33" t="s">
        <v>51</v>
      </c>
      <c r="F45" s="69" t="s">
        <v>470</v>
      </c>
      <c r="G45" s="36" t="s">
        <v>425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33" t="s">
        <v>473</v>
      </c>
      <c r="B46" s="66"/>
      <c r="C46" s="33" t="s">
        <v>49</v>
      </c>
      <c r="D46" s="33">
        <v>83.0</v>
      </c>
      <c r="E46" s="33" t="s">
        <v>51</v>
      </c>
      <c r="F46" s="69" t="s">
        <v>475</v>
      </c>
      <c r="G46" s="36" t="s">
        <v>326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33" t="s">
        <v>477</v>
      </c>
      <c r="B47" s="33" t="e">
        <v>#N/A</v>
      </c>
      <c r="C47" s="33" t="s">
        <v>49</v>
      </c>
      <c r="D47" s="66"/>
      <c r="E47" s="33" t="s">
        <v>295</v>
      </c>
      <c r="F47" s="69" t="s">
        <v>478</v>
      </c>
      <c r="G47" s="71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33" t="s">
        <v>480</v>
      </c>
      <c r="B48" s="33" t="e">
        <v>#N/A</v>
      </c>
      <c r="C48" s="33" t="s">
        <v>49</v>
      </c>
      <c r="D48" s="66"/>
      <c r="E48" s="33" t="s">
        <v>295</v>
      </c>
      <c r="F48" s="69" t="s">
        <v>481</v>
      </c>
      <c r="G48" s="71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33" t="s">
        <v>483</v>
      </c>
      <c r="B49" s="33" t="e">
        <v>#N/A</v>
      </c>
      <c r="C49" s="33" t="s">
        <v>49</v>
      </c>
      <c r="D49" s="66"/>
      <c r="E49" s="33" t="s">
        <v>51</v>
      </c>
      <c r="F49" s="69" t="s">
        <v>484</v>
      </c>
      <c r="G49" s="71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33" t="s">
        <v>486</v>
      </c>
      <c r="B50" s="33" t="e">
        <v>#N/A</v>
      </c>
      <c r="C50" s="33" t="s">
        <v>49</v>
      </c>
      <c r="D50" s="66"/>
      <c r="E50" s="33" t="s">
        <v>51</v>
      </c>
      <c r="F50" s="69" t="s">
        <v>487</v>
      </c>
      <c r="G50" s="7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33" t="s">
        <v>490</v>
      </c>
      <c r="B51" s="33" t="e">
        <v>#N/A</v>
      </c>
      <c r="C51" s="33" t="s">
        <v>49</v>
      </c>
      <c r="D51" s="66"/>
      <c r="E51" s="33" t="s">
        <v>51</v>
      </c>
      <c r="F51" s="69" t="s">
        <v>491</v>
      </c>
      <c r="G51" s="71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33" t="s">
        <v>494</v>
      </c>
      <c r="B52" s="33" t="e">
        <v>#N/A</v>
      </c>
      <c r="C52" s="33" t="s">
        <v>49</v>
      </c>
      <c r="D52" s="66"/>
      <c r="E52" s="33" t="s">
        <v>51</v>
      </c>
      <c r="F52" s="69" t="s">
        <v>495</v>
      </c>
      <c r="G52" s="71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33" t="s">
        <v>498</v>
      </c>
      <c r="B53" s="33" t="e">
        <v>#N/A</v>
      </c>
      <c r="C53" s="33" t="s">
        <v>49</v>
      </c>
      <c r="D53" s="66"/>
      <c r="E53" s="33" t="s">
        <v>51</v>
      </c>
      <c r="F53" s="69" t="s">
        <v>499</v>
      </c>
      <c r="G53" s="71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33" t="s">
        <v>501</v>
      </c>
      <c r="B54" s="33" t="e">
        <v>#N/A</v>
      </c>
      <c r="C54" s="33" t="s">
        <v>49</v>
      </c>
      <c r="D54" s="66"/>
      <c r="E54" s="33" t="s">
        <v>51</v>
      </c>
      <c r="F54" s="69" t="s">
        <v>503</v>
      </c>
      <c r="G54" s="71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33" t="s">
        <v>505</v>
      </c>
      <c r="B55" s="33" t="e">
        <v>#N/A</v>
      </c>
      <c r="C55" s="33" t="s">
        <v>49</v>
      </c>
      <c r="D55" s="66"/>
      <c r="E55" s="33" t="s">
        <v>51</v>
      </c>
      <c r="F55" s="69" t="s">
        <v>506</v>
      </c>
      <c r="G55" s="71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33" t="s">
        <v>507</v>
      </c>
      <c r="B56" s="33" t="e">
        <v>#N/A</v>
      </c>
      <c r="C56" s="33" t="s">
        <v>49</v>
      </c>
      <c r="D56" s="66"/>
      <c r="E56" s="33" t="s">
        <v>51</v>
      </c>
      <c r="F56" s="69" t="s">
        <v>508</v>
      </c>
      <c r="G56" s="71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33" t="s">
        <v>512</v>
      </c>
      <c r="B57" s="33" t="e">
        <v>#N/A</v>
      </c>
      <c r="C57" s="33" t="s">
        <v>49</v>
      </c>
      <c r="D57" s="66"/>
      <c r="E57" s="33" t="s">
        <v>51</v>
      </c>
      <c r="F57" s="69" t="s">
        <v>513</v>
      </c>
      <c r="G57" s="71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33" t="s">
        <v>517</v>
      </c>
      <c r="B58" s="33" t="e">
        <v>#N/A</v>
      </c>
      <c r="C58" s="33" t="s">
        <v>49</v>
      </c>
      <c r="D58" s="66"/>
      <c r="E58" s="33" t="s">
        <v>51</v>
      </c>
      <c r="F58" s="69" t="s">
        <v>518</v>
      </c>
      <c r="G58" s="71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33" t="s">
        <v>522</v>
      </c>
      <c r="B59" s="33" t="e">
        <v>#N/A</v>
      </c>
      <c r="C59" s="33" t="s">
        <v>49</v>
      </c>
      <c r="D59" s="66"/>
      <c r="E59" s="33" t="s">
        <v>51</v>
      </c>
      <c r="F59" s="69" t="s">
        <v>523</v>
      </c>
      <c r="G59" s="71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33" t="s">
        <v>528</v>
      </c>
      <c r="B60" s="33" t="e">
        <v>#N/A</v>
      </c>
      <c r="C60" s="33" t="s">
        <v>49</v>
      </c>
      <c r="D60" s="66"/>
      <c r="E60" s="33" t="s">
        <v>51</v>
      </c>
      <c r="F60" s="69" t="s">
        <v>529</v>
      </c>
      <c r="G60" s="71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33" t="s">
        <v>177</v>
      </c>
      <c r="B61" s="66"/>
      <c r="C61" s="33" t="s">
        <v>49</v>
      </c>
      <c r="D61" s="33">
        <v>280.0</v>
      </c>
      <c r="E61" s="33" t="s">
        <v>295</v>
      </c>
      <c r="F61" s="67" t="s">
        <v>436</v>
      </c>
      <c r="G61" s="36" t="s">
        <v>370</v>
      </c>
      <c r="H61" s="37">
        <v>1.0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33" t="s">
        <v>536</v>
      </c>
      <c r="B62" s="33" t="e">
        <v>#N/A</v>
      </c>
      <c r="C62" s="33" t="s">
        <v>49</v>
      </c>
      <c r="D62" s="66"/>
      <c r="E62" s="33" t="s">
        <v>295</v>
      </c>
      <c r="F62" s="69" t="s">
        <v>538</v>
      </c>
      <c r="G62" s="71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33" t="s">
        <v>541</v>
      </c>
      <c r="B63" s="33" t="e">
        <v>#N/A</v>
      </c>
      <c r="C63" s="33" t="s">
        <v>49</v>
      </c>
      <c r="D63" s="66"/>
      <c r="E63" s="33" t="s">
        <v>295</v>
      </c>
      <c r="F63" s="69" t="s">
        <v>542</v>
      </c>
      <c r="G63" s="71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33" t="s">
        <v>546</v>
      </c>
      <c r="B64" s="33" t="e">
        <v>#N/A</v>
      </c>
      <c r="C64" s="33" t="s">
        <v>49</v>
      </c>
      <c r="D64" s="66"/>
      <c r="E64" s="33" t="s">
        <v>295</v>
      </c>
      <c r="F64" s="69" t="s">
        <v>547</v>
      </c>
      <c r="G64" s="71"/>
      <c r="H64" s="71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33" t="s">
        <v>550</v>
      </c>
      <c r="B65" s="33" t="e">
        <v>#N/A</v>
      </c>
      <c r="C65" s="33" t="s">
        <v>49</v>
      </c>
      <c r="D65" s="66"/>
      <c r="E65" s="33" t="s">
        <v>295</v>
      </c>
      <c r="F65" s="69" t="s">
        <v>552</v>
      </c>
      <c r="G65" s="71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33" t="s">
        <v>178</v>
      </c>
      <c r="B66" s="66"/>
      <c r="C66" s="33" t="s">
        <v>49</v>
      </c>
      <c r="D66" s="33">
        <v>280.0</v>
      </c>
      <c r="E66" s="33" t="s">
        <v>295</v>
      </c>
      <c r="F66" s="67" t="s">
        <v>439</v>
      </c>
      <c r="G66" s="36" t="s">
        <v>370</v>
      </c>
      <c r="H66" s="37">
        <v>1.0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33" t="s">
        <v>199</v>
      </c>
      <c r="B67" s="66"/>
      <c r="C67" s="33" t="s">
        <v>49</v>
      </c>
      <c r="D67" s="33">
        <v>390.0</v>
      </c>
      <c r="E67" s="33" t="s">
        <v>295</v>
      </c>
      <c r="F67" s="67" t="s">
        <v>476</v>
      </c>
      <c r="G67" s="36" t="s">
        <v>385</v>
      </c>
      <c r="H67" s="71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33" t="s">
        <v>559</v>
      </c>
      <c r="B68" s="66"/>
      <c r="C68" s="33" t="s">
        <v>49</v>
      </c>
      <c r="D68" s="33">
        <v>480.0</v>
      </c>
      <c r="E68" s="33" t="s">
        <v>295</v>
      </c>
      <c r="F68" s="67" t="s">
        <v>560</v>
      </c>
      <c r="G68" s="36" t="s">
        <v>492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33" t="s">
        <v>562</v>
      </c>
      <c r="B69" s="33" t="e">
        <v>#N/A</v>
      </c>
      <c r="C69" s="33" t="s">
        <v>49</v>
      </c>
      <c r="D69" s="66"/>
      <c r="E69" s="33" t="s">
        <v>295</v>
      </c>
      <c r="F69" s="69" t="s">
        <v>563</v>
      </c>
      <c r="G69" s="71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33" t="s">
        <v>179</v>
      </c>
      <c r="B70" s="66"/>
      <c r="C70" s="33" t="s">
        <v>49</v>
      </c>
      <c r="D70" s="33">
        <v>280.0</v>
      </c>
      <c r="E70" s="33" t="s">
        <v>295</v>
      </c>
      <c r="F70" s="67" t="s">
        <v>443</v>
      </c>
      <c r="G70" s="36" t="s">
        <v>370</v>
      </c>
      <c r="H70" s="37">
        <v>1.0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33" t="s">
        <v>570</v>
      </c>
      <c r="B71" s="66"/>
      <c r="C71" s="33" t="s">
        <v>49</v>
      </c>
      <c r="D71" s="33">
        <v>390.0</v>
      </c>
      <c r="E71" s="33" t="s">
        <v>295</v>
      </c>
      <c r="F71" s="69" t="s">
        <v>573</v>
      </c>
      <c r="G71" s="36" t="s">
        <v>385</v>
      </c>
      <c r="H71" s="71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33" t="s">
        <v>212</v>
      </c>
      <c r="B72" s="66"/>
      <c r="C72" s="33" t="s">
        <v>49</v>
      </c>
      <c r="D72" s="33">
        <v>480.0</v>
      </c>
      <c r="E72" s="33" t="s">
        <v>295</v>
      </c>
      <c r="F72" s="67" t="s">
        <v>497</v>
      </c>
      <c r="G72" s="36" t="s">
        <v>492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33" t="s">
        <v>580</v>
      </c>
      <c r="B73" s="66"/>
      <c r="C73" s="33" t="s">
        <v>49</v>
      </c>
      <c r="D73" s="33">
        <v>280.0</v>
      </c>
      <c r="E73" s="33" t="s">
        <v>295</v>
      </c>
      <c r="F73" s="67" t="s">
        <v>449</v>
      </c>
      <c r="G73" s="36" t="s">
        <v>332</v>
      </c>
      <c r="H73" s="37">
        <v>1.0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33" t="s">
        <v>583</v>
      </c>
      <c r="B74" s="66"/>
      <c r="C74" s="33" t="s">
        <v>49</v>
      </c>
      <c r="D74" s="33">
        <v>390.0</v>
      </c>
      <c r="E74" s="33" t="s">
        <v>295</v>
      </c>
      <c r="F74" s="67" t="s">
        <v>584</v>
      </c>
      <c r="G74" s="36" t="s">
        <v>385</v>
      </c>
      <c r="H74" s="71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33" t="s">
        <v>210</v>
      </c>
      <c r="B75" s="66"/>
      <c r="C75" s="33" t="s">
        <v>49</v>
      </c>
      <c r="D75" s="33">
        <v>480.0</v>
      </c>
      <c r="E75" s="33" t="s">
        <v>295</v>
      </c>
      <c r="F75" s="67" t="s">
        <v>488</v>
      </c>
      <c r="G75" s="36" t="s">
        <v>492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33" t="s">
        <v>588</v>
      </c>
      <c r="B76" s="33" t="e">
        <v>#N/A</v>
      </c>
      <c r="C76" s="33" t="s">
        <v>49</v>
      </c>
      <c r="D76" s="66"/>
      <c r="E76" s="33" t="s">
        <v>51</v>
      </c>
      <c r="F76" s="69" t="s">
        <v>589</v>
      </c>
      <c r="G76" s="71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33" t="s">
        <v>591</v>
      </c>
      <c r="B77" s="33" t="e">
        <v>#N/A</v>
      </c>
      <c r="C77" s="33" t="s">
        <v>49</v>
      </c>
      <c r="D77" s="66"/>
      <c r="E77" s="33" t="s">
        <v>51</v>
      </c>
      <c r="F77" s="69" t="s">
        <v>592</v>
      </c>
      <c r="G77" s="71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33" t="s">
        <v>595</v>
      </c>
      <c r="B78" s="33" t="e">
        <v>#N/A</v>
      </c>
      <c r="C78" s="33" t="s">
        <v>49</v>
      </c>
      <c r="D78" s="66"/>
      <c r="E78" s="33" t="s">
        <v>295</v>
      </c>
      <c r="F78" s="69" t="s">
        <v>596</v>
      </c>
      <c r="G78" s="71"/>
      <c r="H78" s="36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33" t="s">
        <v>599</v>
      </c>
      <c r="B79" s="33" t="e">
        <v>#N/A</v>
      </c>
      <c r="C79" s="33" t="s">
        <v>49</v>
      </c>
      <c r="D79" s="66"/>
      <c r="E79" s="33" t="s">
        <v>295</v>
      </c>
      <c r="F79" s="69" t="s">
        <v>601</v>
      </c>
      <c r="G79" s="71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33" t="s">
        <v>602</v>
      </c>
      <c r="B80" s="33" t="e">
        <v>#N/A</v>
      </c>
      <c r="C80" s="33" t="s">
        <v>49</v>
      </c>
      <c r="D80" s="66"/>
      <c r="E80" s="33" t="s">
        <v>295</v>
      </c>
      <c r="F80" s="69" t="s">
        <v>603</v>
      </c>
      <c r="G80" s="71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33" t="s">
        <v>606</v>
      </c>
      <c r="B81" s="33" t="e">
        <v>#N/A</v>
      </c>
      <c r="C81" s="33" t="s">
        <v>49</v>
      </c>
      <c r="D81" s="66"/>
      <c r="E81" s="33" t="s">
        <v>295</v>
      </c>
      <c r="F81" s="69" t="s">
        <v>607</v>
      </c>
      <c r="G81" s="71"/>
      <c r="H81" s="71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33" t="s">
        <v>610</v>
      </c>
      <c r="B82" s="33" t="e">
        <v>#N/A</v>
      </c>
      <c r="C82" s="33" t="s">
        <v>49</v>
      </c>
      <c r="D82" s="66"/>
      <c r="E82" s="33" t="s">
        <v>295</v>
      </c>
      <c r="F82" s="69" t="s">
        <v>611</v>
      </c>
      <c r="G82" s="71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33" t="s">
        <v>615</v>
      </c>
      <c r="B83" s="33" t="e">
        <v>#N/A</v>
      </c>
      <c r="C83" s="33" t="s">
        <v>49</v>
      </c>
      <c r="D83" s="66"/>
      <c r="E83" s="33" t="s">
        <v>295</v>
      </c>
      <c r="F83" s="69" t="s">
        <v>616</v>
      </c>
      <c r="G83" s="71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33" t="s">
        <v>620</v>
      </c>
      <c r="B84" s="33" t="e">
        <v>#N/A</v>
      </c>
      <c r="C84" s="33" t="s">
        <v>49</v>
      </c>
      <c r="D84" s="66"/>
      <c r="E84" s="33" t="s">
        <v>295</v>
      </c>
      <c r="F84" s="69" t="s">
        <v>621</v>
      </c>
      <c r="G84" s="71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33" t="s">
        <v>624</v>
      </c>
      <c r="B85" s="33" t="e">
        <v>#N/A</v>
      </c>
      <c r="C85" s="33" t="s">
        <v>49</v>
      </c>
      <c r="D85" s="66"/>
      <c r="E85" s="33" t="s">
        <v>295</v>
      </c>
      <c r="F85" s="69" t="s">
        <v>625</v>
      </c>
      <c r="G85" s="71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33" t="s">
        <v>627</v>
      </c>
      <c r="B86" s="33" t="e">
        <v>#N/A</v>
      </c>
      <c r="C86" s="33" t="s">
        <v>49</v>
      </c>
      <c r="D86" s="66"/>
      <c r="E86" s="33" t="s">
        <v>295</v>
      </c>
      <c r="F86" s="69" t="s">
        <v>628</v>
      </c>
      <c r="G86" s="71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66" t="s">
        <v>630</v>
      </c>
      <c r="B87" s="33" t="e">
        <v>#N/A</v>
      </c>
      <c r="C87" s="33" t="s">
        <v>49</v>
      </c>
      <c r="D87" s="66"/>
      <c r="E87" s="33" t="s">
        <v>295</v>
      </c>
      <c r="F87" s="69" t="s">
        <v>631</v>
      </c>
      <c r="G87" s="71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33" t="s">
        <v>634</v>
      </c>
      <c r="B88" s="33" t="e">
        <v>#N/A</v>
      </c>
      <c r="C88" s="33" t="s">
        <v>49</v>
      </c>
      <c r="D88" s="66"/>
      <c r="E88" s="33" t="s">
        <v>295</v>
      </c>
      <c r="F88" s="69" t="s">
        <v>635</v>
      </c>
      <c r="G88" s="71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33" t="s">
        <v>636</v>
      </c>
      <c r="B89" s="33" t="e">
        <v>#N/A</v>
      </c>
      <c r="C89" s="33" t="s">
        <v>49</v>
      </c>
      <c r="D89" s="66"/>
      <c r="E89" s="33" t="s">
        <v>295</v>
      </c>
      <c r="F89" s="69" t="s">
        <v>637</v>
      </c>
      <c r="G89" s="71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33" t="s">
        <v>639</v>
      </c>
      <c r="B90" s="33" t="e">
        <v>#N/A</v>
      </c>
      <c r="C90" s="33" t="s">
        <v>49</v>
      </c>
      <c r="D90" s="66"/>
      <c r="E90" s="33" t="s">
        <v>295</v>
      </c>
      <c r="F90" s="69" t="s">
        <v>640</v>
      </c>
      <c r="G90" s="71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33" t="s">
        <v>642</v>
      </c>
      <c r="B91" s="33" t="e">
        <v>#N/A</v>
      </c>
      <c r="C91" s="33" t="s">
        <v>49</v>
      </c>
      <c r="D91" s="66"/>
      <c r="E91" s="33" t="s">
        <v>295</v>
      </c>
      <c r="F91" s="69" t="s">
        <v>643</v>
      </c>
      <c r="G91" s="71"/>
      <c r="H91" s="36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33" t="s">
        <v>645</v>
      </c>
      <c r="B92" s="66"/>
      <c r="C92" s="33" t="s">
        <v>49</v>
      </c>
      <c r="D92" s="33">
        <v>390.0</v>
      </c>
      <c r="E92" s="33" t="s">
        <v>295</v>
      </c>
      <c r="F92" s="72" t="s">
        <v>646</v>
      </c>
      <c r="G92" s="36" t="s">
        <v>370</v>
      </c>
      <c r="H92" s="71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33" t="s">
        <v>211</v>
      </c>
      <c r="B93" s="66"/>
      <c r="C93" s="33" t="s">
        <v>49</v>
      </c>
      <c r="D93" s="33">
        <v>480.0</v>
      </c>
      <c r="E93" s="33" t="s">
        <v>295</v>
      </c>
      <c r="F93" s="67" t="s">
        <v>493</v>
      </c>
      <c r="G93" s="36" t="s">
        <v>315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33" t="s">
        <v>651</v>
      </c>
      <c r="B94" s="66"/>
      <c r="C94" s="33" t="s">
        <v>49</v>
      </c>
      <c r="D94" s="33">
        <v>280.0</v>
      </c>
      <c r="E94" s="33" t="s">
        <v>295</v>
      </c>
      <c r="F94" s="67" t="s">
        <v>652</v>
      </c>
      <c r="G94" s="36" t="s">
        <v>332</v>
      </c>
      <c r="H94" s="36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33" t="s">
        <v>654</v>
      </c>
      <c r="B95" s="66"/>
      <c r="C95" s="33" t="s">
        <v>49</v>
      </c>
      <c r="D95" s="33">
        <v>320.0</v>
      </c>
      <c r="E95" s="33" t="s">
        <v>295</v>
      </c>
      <c r="F95" s="67" t="s">
        <v>655</v>
      </c>
      <c r="G95" s="36" t="s">
        <v>326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33" t="s">
        <v>656</v>
      </c>
      <c r="B96" s="66"/>
      <c r="C96" s="33" t="s">
        <v>49</v>
      </c>
      <c r="D96" s="33">
        <v>390.0</v>
      </c>
      <c r="E96" s="33" t="s">
        <v>295</v>
      </c>
      <c r="F96" s="67" t="s">
        <v>658</v>
      </c>
      <c r="G96" s="36" t="s">
        <v>370</v>
      </c>
      <c r="H96" s="71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33" t="s">
        <v>660</v>
      </c>
      <c r="B97" s="66"/>
      <c r="C97" s="33" t="s">
        <v>49</v>
      </c>
      <c r="D97" s="33">
        <v>480.0</v>
      </c>
      <c r="E97" s="33" t="s">
        <v>295</v>
      </c>
      <c r="F97" s="67" t="s">
        <v>661</v>
      </c>
      <c r="G97" s="71" t="s">
        <v>315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33" t="s">
        <v>662</v>
      </c>
      <c r="B98" s="33" t="e">
        <v>#N/A</v>
      </c>
      <c r="C98" s="33" t="s">
        <v>49</v>
      </c>
      <c r="D98" s="66"/>
      <c r="E98" s="33" t="s">
        <v>295</v>
      </c>
      <c r="F98" s="69" t="s">
        <v>663</v>
      </c>
      <c r="G98" s="71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33" t="s">
        <v>665</v>
      </c>
      <c r="B99" s="66"/>
      <c r="C99" s="33" t="s">
        <v>49</v>
      </c>
      <c r="D99" s="33">
        <v>340.0</v>
      </c>
      <c r="E99" s="33" t="s">
        <v>295</v>
      </c>
      <c r="F99" s="69" t="s">
        <v>666</v>
      </c>
      <c r="G99" s="71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33" t="s">
        <v>668</v>
      </c>
      <c r="B100" s="66"/>
      <c r="C100" s="33" t="s">
        <v>49</v>
      </c>
      <c r="D100" s="33">
        <v>380.0</v>
      </c>
      <c r="E100" s="33" t="s">
        <v>295</v>
      </c>
      <c r="F100" s="69" t="s">
        <v>669</v>
      </c>
      <c r="G100" s="71"/>
      <c r="H100" s="71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66" t="s">
        <v>670</v>
      </c>
      <c r="B101" s="66"/>
      <c r="C101" s="33" t="s">
        <v>49</v>
      </c>
      <c r="D101" s="33">
        <v>410.0</v>
      </c>
      <c r="E101" s="33" t="s">
        <v>295</v>
      </c>
      <c r="F101" s="69" t="s">
        <v>671</v>
      </c>
      <c r="G101" s="71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33" t="s">
        <v>672</v>
      </c>
      <c r="B102" s="66"/>
      <c r="C102" s="33" t="s">
        <v>49</v>
      </c>
      <c r="D102" s="33">
        <v>480.0</v>
      </c>
      <c r="E102" s="33" t="s">
        <v>295</v>
      </c>
      <c r="F102" s="69" t="s">
        <v>673</v>
      </c>
      <c r="G102" s="71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33" t="s">
        <v>674</v>
      </c>
      <c r="B103" s="66"/>
      <c r="C103" s="33" t="s">
        <v>49</v>
      </c>
      <c r="D103" s="33">
        <v>340.0</v>
      </c>
      <c r="E103" s="33" t="s">
        <v>295</v>
      </c>
      <c r="F103" s="69" t="s">
        <v>675</v>
      </c>
      <c r="G103" s="71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33" t="s">
        <v>676</v>
      </c>
      <c r="B104" s="66"/>
      <c r="C104" s="33" t="s">
        <v>49</v>
      </c>
      <c r="D104" s="33">
        <v>380.0</v>
      </c>
      <c r="E104" s="33" t="s">
        <v>295</v>
      </c>
      <c r="F104" s="69" t="s">
        <v>677</v>
      </c>
      <c r="G104" s="71"/>
      <c r="H104" s="71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33" t="s">
        <v>678</v>
      </c>
      <c r="B105" s="66"/>
      <c r="C105" s="33" t="s">
        <v>49</v>
      </c>
      <c r="D105" s="33">
        <v>410.0</v>
      </c>
      <c r="E105" s="33" t="s">
        <v>295</v>
      </c>
      <c r="F105" s="69" t="s">
        <v>679</v>
      </c>
      <c r="G105" s="71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33" t="s">
        <v>680</v>
      </c>
      <c r="B106" s="66"/>
      <c r="C106" s="33" t="s">
        <v>49</v>
      </c>
      <c r="D106" s="33">
        <v>480.0</v>
      </c>
      <c r="E106" s="33" t="s">
        <v>295</v>
      </c>
      <c r="F106" s="69" t="s">
        <v>681</v>
      </c>
      <c r="G106" s="71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33" t="s">
        <v>682</v>
      </c>
      <c r="B107" s="33" t="e">
        <v>#N/A</v>
      </c>
      <c r="C107" s="33" t="s">
        <v>49</v>
      </c>
      <c r="D107" s="66"/>
      <c r="E107" s="33" t="s">
        <v>295</v>
      </c>
      <c r="F107" s="69" t="s">
        <v>683</v>
      </c>
      <c r="G107" s="71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33" t="s">
        <v>684</v>
      </c>
      <c r="B108" s="33" t="e">
        <v>#N/A</v>
      </c>
      <c r="C108" s="33" t="s">
        <v>49</v>
      </c>
      <c r="D108" s="66"/>
      <c r="E108" s="33" t="s">
        <v>295</v>
      </c>
      <c r="F108" s="69" t="s">
        <v>516</v>
      </c>
      <c r="G108" s="71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33" t="s">
        <v>685</v>
      </c>
      <c r="B109" s="33" t="e">
        <v>#N/A</v>
      </c>
      <c r="C109" s="33" t="s">
        <v>49</v>
      </c>
      <c r="D109" s="66"/>
      <c r="E109" s="33" t="s">
        <v>295</v>
      </c>
      <c r="F109" s="69" t="s">
        <v>686</v>
      </c>
      <c r="G109" s="71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33" t="s">
        <v>687</v>
      </c>
      <c r="B110" s="33" t="e">
        <v>#N/A</v>
      </c>
      <c r="C110" s="33" t="s">
        <v>49</v>
      </c>
      <c r="D110" s="66"/>
      <c r="E110" s="33" t="s">
        <v>295</v>
      </c>
      <c r="F110" s="69" t="s">
        <v>688</v>
      </c>
      <c r="G110" s="71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33" t="s">
        <v>689</v>
      </c>
      <c r="B111" s="66"/>
      <c r="C111" s="33" t="s">
        <v>49</v>
      </c>
      <c r="D111" s="33">
        <v>550.0</v>
      </c>
      <c r="E111" s="33" t="s">
        <v>295</v>
      </c>
      <c r="F111" s="69" t="s">
        <v>690</v>
      </c>
      <c r="G111" s="36" t="s">
        <v>315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33" t="s">
        <v>691</v>
      </c>
      <c r="B112" s="33" t="e">
        <v>#N/A</v>
      </c>
      <c r="C112" s="33" t="s">
        <v>49</v>
      </c>
      <c r="D112" s="66"/>
      <c r="E112" s="66"/>
      <c r="F112" s="70"/>
      <c r="G112" s="71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33" t="s">
        <v>692</v>
      </c>
      <c r="B113" s="33" t="e">
        <v>#N/A</v>
      </c>
      <c r="C113" s="33" t="s">
        <v>49</v>
      </c>
      <c r="D113" s="66"/>
      <c r="E113" s="66"/>
      <c r="F113" s="70"/>
      <c r="G113" s="71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33" t="s">
        <v>693</v>
      </c>
      <c r="B114" s="33" t="e">
        <v>#N/A</v>
      </c>
      <c r="C114" s="33" t="s">
        <v>49</v>
      </c>
      <c r="D114" s="66"/>
      <c r="E114" s="33" t="s">
        <v>295</v>
      </c>
      <c r="F114" s="69" t="s">
        <v>694</v>
      </c>
      <c r="G114" s="71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33" t="s">
        <v>695</v>
      </c>
      <c r="B115" s="33" t="e">
        <v>#N/A</v>
      </c>
      <c r="C115" s="33" t="s">
        <v>49</v>
      </c>
      <c r="D115" s="66"/>
      <c r="E115" s="33" t="s">
        <v>295</v>
      </c>
      <c r="F115" s="69" t="s">
        <v>696</v>
      </c>
      <c r="G115" s="71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33" t="s">
        <v>697</v>
      </c>
      <c r="B116" s="33" t="e">
        <v>#N/A</v>
      </c>
      <c r="C116" s="33" t="s">
        <v>49</v>
      </c>
      <c r="D116" s="66"/>
      <c r="E116" s="33" t="s">
        <v>295</v>
      </c>
      <c r="F116" s="69" t="s">
        <v>698</v>
      </c>
      <c r="G116" s="71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33" t="s">
        <v>699</v>
      </c>
      <c r="B117" s="33" t="e">
        <v>#N/A</v>
      </c>
      <c r="C117" s="33" t="s">
        <v>49</v>
      </c>
      <c r="D117" s="66"/>
      <c r="E117" s="33" t="s">
        <v>295</v>
      </c>
      <c r="F117" s="69" t="s">
        <v>700</v>
      </c>
      <c r="G117" s="71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33" t="s">
        <v>701</v>
      </c>
      <c r="B118" s="33" t="e">
        <v>#N/A</v>
      </c>
      <c r="C118" s="33" t="s">
        <v>49</v>
      </c>
      <c r="D118" s="66"/>
      <c r="E118" s="33" t="s">
        <v>295</v>
      </c>
      <c r="F118" s="69" t="s">
        <v>702</v>
      </c>
      <c r="G118" s="71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33" t="s">
        <v>703</v>
      </c>
      <c r="B119" s="33" t="e">
        <v>#N/A</v>
      </c>
      <c r="C119" s="33" t="s">
        <v>49</v>
      </c>
      <c r="D119" s="66"/>
      <c r="E119" s="33" t="s">
        <v>295</v>
      </c>
      <c r="F119" s="69" t="s">
        <v>704</v>
      </c>
      <c r="G119" s="71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33" t="s">
        <v>705</v>
      </c>
      <c r="B120" s="33" t="e">
        <v>#N/A</v>
      </c>
      <c r="C120" s="33" t="s">
        <v>49</v>
      </c>
      <c r="D120" s="66"/>
      <c r="E120" s="33" t="s">
        <v>295</v>
      </c>
      <c r="F120" s="69" t="s">
        <v>706</v>
      </c>
      <c r="G120" s="71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33" t="s">
        <v>707</v>
      </c>
      <c r="B121" s="33" t="e">
        <v>#N/A</v>
      </c>
      <c r="C121" s="33" t="s">
        <v>49</v>
      </c>
      <c r="D121" s="66"/>
      <c r="E121" s="33" t="s">
        <v>295</v>
      </c>
      <c r="F121" s="69" t="s">
        <v>708</v>
      </c>
      <c r="G121" s="71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33" t="s">
        <v>709</v>
      </c>
      <c r="B122" s="33" t="e">
        <v>#N/A</v>
      </c>
      <c r="C122" s="33" t="s">
        <v>49</v>
      </c>
      <c r="D122" s="66"/>
      <c r="E122" s="33" t="s">
        <v>295</v>
      </c>
      <c r="F122" s="69" t="s">
        <v>710</v>
      </c>
      <c r="G122" s="71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33" t="s">
        <v>711</v>
      </c>
      <c r="B123" s="33" t="e">
        <v>#N/A</v>
      </c>
      <c r="C123" s="33" t="s">
        <v>49</v>
      </c>
      <c r="D123" s="66"/>
      <c r="E123" s="33" t="s">
        <v>51</v>
      </c>
      <c r="F123" s="69" t="s">
        <v>712</v>
      </c>
      <c r="G123" s="71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33" t="s">
        <v>713</v>
      </c>
      <c r="B124" s="33" t="e">
        <v>#N/A</v>
      </c>
      <c r="C124" s="33" t="s">
        <v>49</v>
      </c>
      <c r="D124" s="66"/>
      <c r="E124" s="33" t="s">
        <v>295</v>
      </c>
      <c r="F124" s="69" t="s">
        <v>714</v>
      </c>
      <c r="G124" s="71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33" t="s">
        <v>715</v>
      </c>
      <c r="B125" s="66"/>
      <c r="C125" s="33" t="s">
        <v>49</v>
      </c>
      <c r="D125" s="33">
        <v>375.0</v>
      </c>
      <c r="E125" s="33" t="s">
        <v>295</v>
      </c>
      <c r="F125" s="69" t="s">
        <v>716</v>
      </c>
      <c r="G125" s="71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33" t="s">
        <v>717</v>
      </c>
      <c r="B126" s="66"/>
      <c r="C126" s="33" t="s">
        <v>49</v>
      </c>
      <c r="D126" s="33">
        <v>450.0</v>
      </c>
      <c r="E126" s="33" t="s">
        <v>295</v>
      </c>
      <c r="F126" s="67" t="s">
        <v>718</v>
      </c>
      <c r="G126" s="71"/>
      <c r="H126" s="71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33" t="s">
        <v>719</v>
      </c>
      <c r="B127" s="66"/>
      <c r="C127" s="33" t="s">
        <v>49</v>
      </c>
      <c r="D127" s="33">
        <v>425.0</v>
      </c>
      <c r="E127" s="33" t="s">
        <v>295</v>
      </c>
      <c r="F127" s="67" t="s">
        <v>720</v>
      </c>
      <c r="G127" s="36" t="s">
        <v>721</v>
      </c>
      <c r="H127" s="71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33" t="s">
        <v>722</v>
      </c>
      <c r="B128" s="66"/>
      <c r="C128" s="33" t="s">
        <v>49</v>
      </c>
      <c r="D128" s="33">
        <v>525.0</v>
      </c>
      <c r="E128" s="33" t="s">
        <v>295</v>
      </c>
      <c r="F128" s="67" t="s">
        <v>723</v>
      </c>
      <c r="G128" s="71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33" t="s">
        <v>724</v>
      </c>
      <c r="B129" s="33" t="e">
        <v>#N/A</v>
      </c>
      <c r="C129" s="33" t="s">
        <v>49</v>
      </c>
      <c r="D129" s="66"/>
      <c r="E129" s="33" t="s">
        <v>295</v>
      </c>
      <c r="F129" s="69" t="s">
        <v>725</v>
      </c>
      <c r="G129" s="71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33" t="s">
        <v>726</v>
      </c>
      <c r="B130" s="33" t="e">
        <v>#N/A</v>
      </c>
      <c r="C130" s="33" t="s">
        <v>49</v>
      </c>
      <c r="D130" s="66"/>
      <c r="E130" s="33" t="s">
        <v>295</v>
      </c>
      <c r="F130" s="69" t="s">
        <v>727</v>
      </c>
      <c r="G130" s="71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33" t="s">
        <v>728</v>
      </c>
      <c r="B131" s="33" t="e">
        <v>#N/A</v>
      </c>
      <c r="C131" s="33" t="s">
        <v>49</v>
      </c>
      <c r="D131" s="66"/>
      <c r="E131" s="33" t="s">
        <v>51</v>
      </c>
      <c r="F131" s="69" t="s">
        <v>729</v>
      </c>
      <c r="G131" s="71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33" t="s">
        <v>731</v>
      </c>
      <c r="B132" s="33" t="e">
        <v>#N/A</v>
      </c>
      <c r="C132" s="33" t="s">
        <v>49</v>
      </c>
      <c r="D132" s="66"/>
      <c r="E132" s="33" t="s">
        <v>51</v>
      </c>
      <c r="F132" s="69" t="s">
        <v>732</v>
      </c>
      <c r="G132" s="71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33" t="s">
        <v>733</v>
      </c>
      <c r="B133" s="33" t="e">
        <v>#N/A</v>
      </c>
      <c r="C133" s="33" t="s">
        <v>49</v>
      </c>
      <c r="D133" s="66"/>
      <c r="E133" s="33" t="s">
        <v>295</v>
      </c>
      <c r="F133" s="69" t="s">
        <v>734</v>
      </c>
      <c r="G133" s="71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33" t="s">
        <v>735</v>
      </c>
      <c r="B134" s="33" t="e">
        <v>#N/A</v>
      </c>
      <c r="C134" s="33" t="s">
        <v>49</v>
      </c>
      <c r="D134" s="66"/>
      <c r="E134" s="33" t="s">
        <v>295</v>
      </c>
      <c r="F134" s="69" t="s">
        <v>736</v>
      </c>
      <c r="G134" s="71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66"/>
      <c r="B135" s="66"/>
      <c r="C135" s="66"/>
      <c r="D135" s="66"/>
      <c r="E135" s="66"/>
      <c r="F135" s="66"/>
      <c r="G135" s="71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66"/>
      <c r="B136" s="66"/>
      <c r="C136" s="66"/>
      <c r="D136" s="66"/>
      <c r="E136" s="66"/>
      <c r="F136" s="66"/>
      <c r="G136" s="71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66"/>
      <c r="B137" s="66"/>
      <c r="C137" s="66"/>
      <c r="D137" s="66"/>
      <c r="E137" s="66"/>
      <c r="F137" s="66"/>
      <c r="G137" s="71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66"/>
      <c r="B138" s="66"/>
      <c r="C138" s="66"/>
      <c r="D138" s="66"/>
      <c r="E138" s="66"/>
      <c r="F138" s="66"/>
      <c r="G138" s="71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66"/>
      <c r="B141" s="66"/>
      <c r="C141" s="66"/>
      <c r="D141" s="66"/>
      <c r="E141" s="66"/>
      <c r="F141" s="66"/>
      <c r="G141" s="71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66"/>
      <c r="B142" s="66"/>
      <c r="C142" s="66"/>
      <c r="D142" s="66"/>
      <c r="E142" s="66"/>
      <c r="F142" s="66"/>
      <c r="G142" s="71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66"/>
      <c r="B143" s="66"/>
      <c r="C143" s="66"/>
      <c r="D143" s="66"/>
      <c r="E143" s="66"/>
      <c r="F143" s="66"/>
      <c r="G143" s="71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66"/>
      <c r="B144" s="66"/>
      <c r="C144" s="66"/>
      <c r="D144" s="66"/>
      <c r="E144" s="66"/>
      <c r="F144" s="66"/>
      <c r="G144" s="71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66"/>
      <c r="B145" s="66"/>
      <c r="C145" s="66"/>
      <c r="D145" s="66"/>
      <c r="E145" s="66"/>
      <c r="F145" s="66"/>
      <c r="G145" s="71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66"/>
      <c r="B146" s="66"/>
      <c r="C146" s="66"/>
      <c r="D146" s="66"/>
      <c r="E146" s="66"/>
      <c r="F146" s="66"/>
      <c r="G146" s="71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66"/>
      <c r="B147" s="66"/>
      <c r="C147" s="66"/>
      <c r="D147" s="66"/>
      <c r="E147" s="66"/>
      <c r="F147" s="66"/>
      <c r="G147" s="71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66"/>
      <c r="B148" s="66"/>
      <c r="C148" s="66"/>
      <c r="D148" s="66"/>
      <c r="E148" s="66"/>
      <c r="F148" s="66"/>
      <c r="G148" s="71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66"/>
      <c r="B149" s="66"/>
      <c r="C149" s="66"/>
      <c r="D149" s="66"/>
      <c r="E149" s="66"/>
      <c r="F149" s="66"/>
      <c r="G149" s="71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66"/>
      <c r="B150" s="66"/>
      <c r="C150" s="66"/>
      <c r="D150" s="66"/>
      <c r="E150" s="66"/>
      <c r="F150" s="66"/>
      <c r="G150" s="71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66"/>
      <c r="B151" s="66"/>
      <c r="C151" s="66"/>
      <c r="D151" s="66"/>
      <c r="E151" s="66"/>
      <c r="F151" s="66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66"/>
      <c r="B152" s="66"/>
      <c r="C152" s="66"/>
      <c r="D152" s="66"/>
      <c r="E152" s="66"/>
      <c r="F152" s="66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66"/>
      <c r="B153" s="66"/>
      <c r="C153" s="66"/>
      <c r="D153" s="66"/>
      <c r="E153" s="66"/>
      <c r="F153" s="66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66"/>
      <c r="B154" s="66"/>
      <c r="C154" s="66"/>
      <c r="D154" s="66"/>
      <c r="E154" s="66"/>
      <c r="F154" s="66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66"/>
      <c r="B155" s="66"/>
      <c r="C155" s="66"/>
      <c r="D155" s="66"/>
      <c r="E155" s="66"/>
      <c r="F155" s="66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66"/>
      <c r="B156" s="66"/>
      <c r="C156" s="66"/>
      <c r="D156" s="66"/>
      <c r="E156" s="66"/>
      <c r="F156" s="66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66"/>
      <c r="B157" s="66"/>
      <c r="C157" s="66"/>
      <c r="D157" s="66"/>
      <c r="E157" s="66"/>
      <c r="F157" s="66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66"/>
      <c r="B158" s="66"/>
      <c r="C158" s="66"/>
      <c r="D158" s="66"/>
      <c r="E158" s="66"/>
      <c r="F158" s="66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66"/>
      <c r="B159" s="66"/>
      <c r="C159" s="66"/>
      <c r="D159" s="66"/>
      <c r="E159" s="66"/>
      <c r="F159" s="66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66"/>
      <c r="B160" s="66"/>
      <c r="C160" s="66"/>
      <c r="D160" s="66"/>
      <c r="E160" s="66"/>
      <c r="F160" s="66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66"/>
      <c r="B161" s="66"/>
      <c r="C161" s="66"/>
      <c r="D161" s="66"/>
      <c r="E161" s="66"/>
      <c r="F161" s="66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66"/>
      <c r="B162" s="66"/>
      <c r="C162" s="66"/>
      <c r="D162" s="66"/>
      <c r="E162" s="66"/>
      <c r="F162" s="66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66"/>
      <c r="B163" s="66"/>
      <c r="C163" s="66"/>
      <c r="D163" s="66"/>
      <c r="E163" s="66"/>
      <c r="F163" s="66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66"/>
      <c r="B164" s="66"/>
      <c r="C164" s="66"/>
      <c r="D164" s="66"/>
      <c r="E164" s="66"/>
      <c r="F164" s="66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66"/>
      <c r="B165" s="66"/>
      <c r="C165" s="66"/>
      <c r="D165" s="66"/>
      <c r="E165" s="66"/>
      <c r="F165" s="66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66"/>
      <c r="B166" s="66"/>
      <c r="C166" s="66"/>
      <c r="D166" s="66"/>
      <c r="E166" s="66"/>
      <c r="F166" s="66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66"/>
      <c r="B167" s="66"/>
      <c r="C167" s="66"/>
      <c r="D167" s="66"/>
      <c r="E167" s="66"/>
      <c r="F167" s="66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66"/>
      <c r="B168" s="66"/>
      <c r="C168" s="66"/>
      <c r="D168" s="66"/>
      <c r="E168" s="66"/>
      <c r="F168" s="66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66"/>
      <c r="B169" s="66"/>
      <c r="C169" s="66"/>
      <c r="D169" s="66"/>
      <c r="E169" s="66"/>
      <c r="F169" s="66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66"/>
      <c r="B170" s="66"/>
      <c r="C170" s="66"/>
      <c r="D170" s="66"/>
      <c r="E170" s="66"/>
      <c r="F170" s="66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66"/>
      <c r="B171" s="66"/>
      <c r="C171" s="66"/>
      <c r="D171" s="66"/>
      <c r="E171" s="66"/>
      <c r="F171" s="66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66"/>
      <c r="B172" s="66"/>
      <c r="C172" s="66"/>
      <c r="D172" s="66"/>
      <c r="E172" s="66"/>
      <c r="F172" s="66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66"/>
      <c r="B173" s="66"/>
      <c r="C173" s="66"/>
      <c r="D173" s="66"/>
      <c r="E173" s="66"/>
      <c r="F173" s="66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66"/>
      <c r="B174" s="66"/>
      <c r="C174" s="66"/>
      <c r="D174" s="66"/>
      <c r="E174" s="66"/>
      <c r="F174" s="66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66"/>
      <c r="B175" s="66"/>
      <c r="C175" s="66"/>
      <c r="D175" s="66"/>
      <c r="E175" s="66"/>
      <c r="F175" s="66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66"/>
      <c r="B176" s="66"/>
      <c r="C176" s="66"/>
      <c r="D176" s="66"/>
      <c r="E176" s="66"/>
      <c r="F176" s="66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66"/>
      <c r="B177" s="66"/>
      <c r="C177" s="66"/>
      <c r="D177" s="66"/>
      <c r="E177" s="66"/>
      <c r="F177" s="66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66"/>
      <c r="B178" s="66"/>
      <c r="C178" s="66"/>
      <c r="D178" s="66"/>
      <c r="E178" s="66"/>
      <c r="F178" s="66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66"/>
      <c r="B179" s="66"/>
      <c r="C179" s="66"/>
      <c r="D179" s="66"/>
      <c r="E179" s="66"/>
      <c r="F179" s="66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66"/>
      <c r="B180" s="66"/>
      <c r="C180" s="66"/>
      <c r="D180" s="66"/>
      <c r="E180" s="66"/>
      <c r="F180" s="66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66"/>
      <c r="B181" s="66"/>
      <c r="C181" s="66"/>
      <c r="D181" s="66"/>
      <c r="E181" s="66"/>
      <c r="F181" s="66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66"/>
      <c r="B182" s="66"/>
      <c r="C182" s="66"/>
      <c r="D182" s="66"/>
      <c r="E182" s="66"/>
      <c r="F182" s="66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66"/>
      <c r="B183" s="66"/>
      <c r="C183" s="66"/>
      <c r="D183" s="66"/>
      <c r="E183" s="66"/>
      <c r="F183" s="66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66"/>
      <c r="B184" s="66"/>
      <c r="C184" s="66"/>
      <c r="D184" s="66"/>
      <c r="E184" s="66"/>
      <c r="F184" s="66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66"/>
      <c r="B185" s="66"/>
      <c r="C185" s="66"/>
      <c r="D185" s="66"/>
      <c r="E185" s="66"/>
      <c r="F185" s="66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66"/>
      <c r="B186" s="66"/>
      <c r="C186" s="66"/>
      <c r="D186" s="66"/>
      <c r="E186" s="66"/>
      <c r="F186" s="66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66"/>
      <c r="B187" s="66"/>
      <c r="C187" s="66"/>
      <c r="D187" s="66"/>
      <c r="E187" s="66"/>
      <c r="F187" s="66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66"/>
      <c r="B188" s="66"/>
      <c r="C188" s="66"/>
      <c r="D188" s="66"/>
      <c r="E188" s="66"/>
      <c r="F188" s="66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66"/>
      <c r="B189" s="66"/>
      <c r="C189" s="66"/>
      <c r="D189" s="66"/>
      <c r="E189" s="66"/>
      <c r="F189" s="66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66"/>
      <c r="B190" s="66"/>
      <c r="C190" s="66"/>
      <c r="D190" s="66"/>
      <c r="E190" s="66"/>
      <c r="F190" s="66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66"/>
      <c r="B191" s="66"/>
      <c r="C191" s="66"/>
      <c r="D191" s="66"/>
      <c r="E191" s="66"/>
      <c r="F191" s="66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66"/>
      <c r="B192" s="66"/>
      <c r="C192" s="66"/>
      <c r="D192" s="66"/>
      <c r="E192" s="66"/>
      <c r="F192" s="66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66"/>
      <c r="B193" s="66"/>
      <c r="C193" s="66"/>
      <c r="D193" s="66"/>
      <c r="E193" s="66"/>
      <c r="F193" s="66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66"/>
      <c r="B194" s="66"/>
      <c r="C194" s="66"/>
      <c r="D194" s="66"/>
      <c r="E194" s="66"/>
      <c r="F194" s="66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66"/>
      <c r="B195" s="66"/>
      <c r="C195" s="66"/>
      <c r="D195" s="66"/>
      <c r="E195" s="66"/>
      <c r="F195" s="66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66"/>
      <c r="B196" s="66"/>
      <c r="C196" s="66"/>
      <c r="D196" s="66"/>
      <c r="E196" s="66"/>
      <c r="F196" s="66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66"/>
      <c r="B197" s="66"/>
      <c r="C197" s="66"/>
      <c r="D197" s="66"/>
      <c r="E197" s="66"/>
      <c r="F197" s="66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66"/>
      <c r="B198" s="66"/>
      <c r="C198" s="66"/>
      <c r="D198" s="66"/>
      <c r="E198" s="66"/>
      <c r="F198" s="66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66"/>
      <c r="B199" s="66"/>
      <c r="C199" s="66"/>
      <c r="D199" s="66"/>
      <c r="E199" s="66"/>
      <c r="F199" s="66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66"/>
      <c r="B200" s="66"/>
      <c r="C200" s="66"/>
      <c r="D200" s="66"/>
      <c r="E200" s="66"/>
      <c r="F200" s="66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66"/>
      <c r="B201" s="66"/>
      <c r="C201" s="66"/>
      <c r="D201" s="66"/>
      <c r="E201" s="66"/>
      <c r="F201" s="66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66"/>
      <c r="B202" s="66"/>
      <c r="C202" s="66"/>
      <c r="D202" s="66"/>
      <c r="E202" s="66"/>
      <c r="F202" s="66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66"/>
      <c r="B203" s="66"/>
      <c r="C203" s="66"/>
      <c r="D203" s="66"/>
      <c r="E203" s="66"/>
      <c r="F203" s="66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66"/>
      <c r="B204" s="66"/>
      <c r="C204" s="66"/>
      <c r="D204" s="66"/>
      <c r="E204" s="66"/>
      <c r="F204" s="66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66"/>
      <c r="B205" s="66"/>
      <c r="C205" s="66"/>
      <c r="D205" s="66"/>
      <c r="E205" s="66"/>
      <c r="F205" s="66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66"/>
      <c r="B206" s="66"/>
      <c r="C206" s="66"/>
      <c r="D206" s="66"/>
      <c r="E206" s="66"/>
      <c r="F206" s="66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66"/>
      <c r="B207" s="66"/>
      <c r="C207" s="66"/>
      <c r="D207" s="66"/>
      <c r="E207" s="66"/>
      <c r="F207" s="66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66"/>
      <c r="B208" s="66"/>
      <c r="C208" s="66"/>
      <c r="D208" s="66"/>
      <c r="E208" s="66"/>
      <c r="F208" s="66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66"/>
      <c r="B209" s="66"/>
      <c r="C209" s="66"/>
      <c r="D209" s="66"/>
      <c r="E209" s="66"/>
      <c r="F209" s="66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66"/>
      <c r="B210" s="66"/>
      <c r="C210" s="66"/>
      <c r="D210" s="66"/>
      <c r="E210" s="66"/>
      <c r="F210" s="66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66"/>
      <c r="B211" s="66"/>
      <c r="C211" s="66"/>
      <c r="D211" s="66"/>
      <c r="E211" s="66"/>
      <c r="F211" s="66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66"/>
      <c r="B212" s="66"/>
      <c r="C212" s="66"/>
      <c r="D212" s="66"/>
      <c r="E212" s="66"/>
      <c r="F212" s="66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66"/>
      <c r="B213" s="66"/>
      <c r="C213" s="66"/>
      <c r="D213" s="66"/>
      <c r="E213" s="66"/>
      <c r="F213" s="66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66"/>
      <c r="B214" s="66"/>
      <c r="C214" s="66"/>
      <c r="D214" s="66"/>
      <c r="E214" s="66"/>
      <c r="F214" s="66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66"/>
      <c r="B215" s="66"/>
      <c r="C215" s="66"/>
      <c r="D215" s="66"/>
      <c r="E215" s="66"/>
      <c r="F215" s="66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66"/>
      <c r="B216" s="66"/>
      <c r="C216" s="66"/>
      <c r="D216" s="66"/>
      <c r="E216" s="66"/>
      <c r="F216" s="66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66"/>
      <c r="B217" s="66"/>
      <c r="C217" s="66"/>
      <c r="D217" s="66"/>
      <c r="E217" s="66"/>
      <c r="F217" s="66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66"/>
      <c r="B218" s="66"/>
      <c r="C218" s="66"/>
      <c r="D218" s="66"/>
      <c r="E218" s="66"/>
      <c r="F218" s="66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66"/>
      <c r="B219" s="66"/>
      <c r="C219" s="66"/>
      <c r="D219" s="66"/>
      <c r="E219" s="66"/>
      <c r="F219" s="66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66"/>
      <c r="B220" s="66"/>
      <c r="C220" s="66"/>
      <c r="D220" s="66"/>
      <c r="E220" s="66"/>
      <c r="F220" s="66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66"/>
      <c r="B221" s="66"/>
      <c r="C221" s="66"/>
      <c r="D221" s="66"/>
      <c r="E221" s="66"/>
      <c r="F221" s="66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66"/>
      <c r="B222" s="66"/>
      <c r="C222" s="66"/>
      <c r="D222" s="66"/>
      <c r="E222" s="66"/>
      <c r="F222" s="66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66"/>
      <c r="B223" s="66"/>
      <c r="C223" s="66"/>
      <c r="D223" s="66"/>
      <c r="E223" s="66"/>
      <c r="F223" s="66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66"/>
      <c r="B224" s="66"/>
      <c r="C224" s="66"/>
      <c r="D224" s="66"/>
      <c r="E224" s="66"/>
      <c r="F224" s="66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66"/>
      <c r="B225" s="66"/>
      <c r="C225" s="66"/>
      <c r="D225" s="66"/>
      <c r="E225" s="66"/>
      <c r="F225" s="66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66"/>
      <c r="B226" s="66"/>
      <c r="C226" s="66"/>
      <c r="D226" s="66"/>
      <c r="E226" s="66"/>
      <c r="F226" s="66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66"/>
      <c r="B227" s="66"/>
      <c r="C227" s="66"/>
      <c r="D227" s="66"/>
      <c r="E227" s="66"/>
      <c r="F227" s="66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66"/>
      <c r="B228" s="66"/>
      <c r="C228" s="66"/>
      <c r="D228" s="66"/>
      <c r="E228" s="66"/>
      <c r="F228" s="66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66"/>
      <c r="B229" s="66"/>
      <c r="C229" s="66"/>
      <c r="D229" s="66"/>
      <c r="E229" s="66"/>
      <c r="F229" s="66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66"/>
      <c r="B230" s="66"/>
      <c r="C230" s="66"/>
      <c r="D230" s="66"/>
      <c r="E230" s="66"/>
      <c r="F230" s="66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66"/>
      <c r="B231" s="66"/>
      <c r="C231" s="66"/>
      <c r="D231" s="66"/>
      <c r="E231" s="66"/>
      <c r="F231" s="66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66"/>
      <c r="B232" s="66"/>
      <c r="C232" s="66"/>
      <c r="D232" s="66"/>
      <c r="E232" s="66"/>
      <c r="F232" s="66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66"/>
      <c r="B233" s="66"/>
      <c r="C233" s="66"/>
      <c r="D233" s="66"/>
      <c r="E233" s="66"/>
      <c r="F233" s="66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66"/>
      <c r="B234" s="66"/>
      <c r="C234" s="66"/>
      <c r="D234" s="66"/>
      <c r="E234" s="66"/>
      <c r="F234" s="66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66"/>
      <c r="B235" s="66"/>
      <c r="C235" s="66"/>
      <c r="D235" s="66"/>
      <c r="E235" s="66"/>
      <c r="F235" s="66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66"/>
      <c r="B236" s="66"/>
      <c r="C236" s="66"/>
      <c r="D236" s="66"/>
      <c r="E236" s="66"/>
      <c r="F236" s="66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66"/>
      <c r="B237" s="66"/>
      <c r="C237" s="66"/>
      <c r="D237" s="66"/>
      <c r="E237" s="66"/>
      <c r="F237" s="66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66"/>
      <c r="B238" s="66"/>
      <c r="C238" s="66"/>
      <c r="D238" s="66"/>
      <c r="E238" s="66"/>
      <c r="F238" s="66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66"/>
      <c r="B239" s="66"/>
      <c r="C239" s="66"/>
      <c r="D239" s="66"/>
      <c r="E239" s="66"/>
      <c r="F239" s="66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66"/>
      <c r="B240" s="66"/>
      <c r="C240" s="66"/>
      <c r="D240" s="66"/>
      <c r="E240" s="66"/>
      <c r="F240" s="66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66"/>
      <c r="B241" s="66"/>
      <c r="C241" s="66"/>
      <c r="D241" s="66"/>
      <c r="E241" s="66"/>
      <c r="F241" s="66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66"/>
      <c r="B242" s="66"/>
      <c r="C242" s="66"/>
      <c r="D242" s="66"/>
      <c r="E242" s="66"/>
      <c r="F242" s="66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66"/>
      <c r="B243" s="66"/>
      <c r="C243" s="66"/>
      <c r="D243" s="66"/>
      <c r="E243" s="66"/>
      <c r="F243" s="66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66"/>
      <c r="B244" s="66"/>
      <c r="C244" s="66"/>
      <c r="D244" s="66"/>
      <c r="E244" s="66"/>
      <c r="F244" s="66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66"/>
      <c r="B245" s="66"/>
      <c r="C245" s="66"/>
      <c r="D245" s="66"/>
      <c r="E245" s="66"/>
      <c r="F245" s="66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66"/>
      <c r="B246" s="66"/>
      <c r="C246" s="66"/>
      <c r="D246" s="66"/>
      <c r="E246" s="66"/>
      <c r="F246" s="66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66"/>
      <c r="B247" s="66"/>
      <c r="C247" s="66"/>
      <c r="D247" s="66"/>
      <c r="E247" s="66"/>
      <c r="F247" s="66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66"/>
      <c r="B248" s="66"/>
      <c r="C248" s="66"/>
      <c r="D248" s="66"/>
      <c r="E248" s="66"/>
      <c r="F248" s="66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66"/>
      <c r="B249" s="66"/>
      <c r="C249" s="66"/>
      <c r="D249" s="66"/>
      <c r="E249" s="66"/>
      <c r="F249" s="66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66"/>
      <c r="B250" s="66"/>
      <c r="C250" s="66"/>
      <c r="D250" s="66"/>
      <c r="E250" s="66"/>
      <c r="F250" s="66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66"/>
      <c r="B251" s="66"/>
      <c r="C251" s="66"/>
      <c r="D251" s="66"/>
      <c r="E251" s="66"/>
      <c r="F251" s="66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66"/>
      <c r="B252" s="66"/>
      <c r="C252" s="66"/>
      <c r="D252" s="66"/>
      <c r="E252" s="66"/>
      <c r="F252" s="66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66"/>
      <c r="B253" s="66"/>
      <c r="C253" s="66"/>
      <c r="D253" s="66"/>
      <c r="E253" s="66"/>
      <c r="F253" s="66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66"/>
      <c r="B254" s="66"/>
      <c r="C254" s="66"/>
      <c r="D254" s="66"/>
      <c r="E254" s="66"/>
      <c r="F254" s="66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66"/>
      <c r="B255" s="66"/>
      <c r="C255" s="66"/>
      <c r="D255" s="66"/>
      <c r="E255" s="66"/>
      <c r="F255" s="66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66"/>
      <c r="B256" s="66"/>
      <c r="C256" s="66"/>
      <c r="D256" s="66"/>
      <c r="E256" s="66"/>
      <c r="F256" s="66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66"/>
      <c r="B257" s="66"/>
      <c r="C257" s="66"/>
      <c r="D257" s="66"/>
      <c r="E257" s="66"/>
      <c r="F257" s="66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66"/>
      <c r="B258" s="66"/>
      <c r="C258" s="66"/>
      <c r="D258" s="66"/>
      <c r="E258" s="66"/>
      <c r="F258" s="66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66"/>
      <c r="B259" s="66"/>
      <c r="C259" s="66"/>
      <c r="D259" s="66"/>
      <c r="E259" s="66"/>
      <c r="F259" s="66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66"/>
      <c r="B260" s="66"/>
      <c r="C260" s="66"/>
      <c r="D260" s="66"/>
      <c r="E260" s="66"/>
      <c r="F260" s="66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66"/>
      <c r="B261" s="66"/>
      <c r="C261" s="66"/>
      <c r="D261" s="66"/>
      <c r="E261" s="66"/>
      <c r="F261" s="66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66"/>
      <c r="B262" s="66"/>
      <c r="C262" s="66"/>
      <c r="D262" s="66"/>
      <c r="E262" s="66"/>
      <c r="F262" s="66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66"/>
      <c r="B263" s="66"/>
      <c r="C263" s="66"/>
      <c r="D263" s="66"/>
      <c r="E263" s="66"/>
      <c r="F263" s="66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66"/>
      <c r="B264" s="66"/>
      <c r="C264" s="66"/>
      <c r="D264" s="66"/>
      <c r="E264" s="66"/>
      <c r="F264" s="66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66"/>
      <c r="B265" s="66"/>
      <c r="C265" s="66"/>
      <c r="D265" s="66"/>
      <c r="E265" s="66"/>
      <c r="F265" s="66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66"/>
      <c r="B266" s="66"/>
      <c r="C266" s="66"/>
      <c r="D266" s="66"/>
      <c r="E266" s="66"/>
      <c r="F266" s="66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66"/>
      <c r="B267" s="66"/>
      <c r="C267" s="66"/>
      <c r="D267" s="66"/>
      <c r="E267" s="66"/>
      <c r="F267" s="66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66"/>
      <c r="B268" s="66"/>
      <c r="C268" s="66"/>
      <c r="D268" s="66"/>
      <c r="E268" s="66"/>
      <c r="F268" s="66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66"/>
      <c r="B269" s="66"/>
      <c r="C269" s="66"/>
      <c r="D269" s="66"/>
      <c r="E269" s="66"/>
      <c r="F269" s="66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66"/>
      <c r="B270" s="66"/>
      <c r="C270" s="66"/>
      <c r="D270" s="66"/>
      <c r="E270" s="66"/>
      <c r="F270" s="66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66"/>
      <c r="B271" s="66"/>
      <c r="C271" s="66"/>
      <c r="D271" s="66"/>
      <c r="E271" s="66"/>
      <c r="F271" s="66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66"/>
      <c r="B272" s="66"/>
      <c r="C272" s="66"/>
      <c r="D272" s="66"/>
      <c r="E272" s="66"/>
      <c r="F272" s="66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66"/>
      <c r="B273" s="66"/>
      <c r="C273" s="66"/>
      <c r="D273" s="66"/>
      <c r="E273" s="66"/>
      <c r="F273" s="66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66"/>
      <c r="B274" s="66"/>
      <c r="C274" s="66"/>
      <c r="D274" s="66"/>
      <c r="E274" s="66"/>
      <c r="F274" s="66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66"/>
      <c r="B275" s="66"/>
      <c r="C275" s="66"/>
      <c r="D275" s="66"/>
      <c r="E275" s="66"/>
      <c r="F275" s="66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66"/>
      <c r="B276" s="66"/>
      <c r="C276" s="66"/>
      <c r="D276" s="66"/>
      <c r="E276" s="66"/>
      <c r="F276" s="66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66"/>
      <c r="B277" s="66"/>
      <c r="C277" s="66"/>
      <c r="D277" s="66"/>
      <c r="E277" s="66"/>
      <c r="F277" s="66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66"/>
      <c r="B278" s="66"/>
      <c r="C278" s="66"/>
      <c r="D278" s="66"/>
      <c r="E278" s="66"/>
      <c r="F278" s="66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66"/>
      <c r="B279" s="66"/>
      <c r="C279" s="66"/>
      <c r="D279" s="66"/>
      <c r="E279" s="66"/>
      <c r="F279" s="66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66"/>
      <c r="B280" s="66"/>
      <c r="C280" s="66"/>
      <c r="D280" s="66"/>
      <c r="E280" s="66"/>
      <c r="F280" s="66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66"/>
      <c r="B281" s="66"/>
      <c r="C281" s="66"/>
      <c r="D281" s="66"/>
      <c r="E281" s="66"/>
      <c r="F281" s="66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66"/>
      <c r="B282" s="66"/>
      <c r="C282" s="66"/>
      <c r="D282" s="66"/>
      <c r="E282" s="66"/>
      <c r="F282" s="66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66"/>
      <c r="B283" s="66"/>
      <c r="C283" s="66"/>
      <c r="D283" s="66"/>
      <c r="E283" s="66"/>
      <c r="F283" s="66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66"/>
      <c r="B284" s="66"/>
      <c r="C284" s="66"/>
      <c r="D284" s="66"/>
      <c r="E284" s="66"/>
      <c r="F284" s="66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66"/>
      <c r="B285" s="66"/>
      <c r="C285" s="66"/>
      <c r="D285" s="66"/>
      <c r="E285" s="66"/>
      <c r="F285" s="66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66"/>
      <c r="B286" s="66"/>
      <c r="C286" s="66"/>
      <c r="D286" s="66"/>
      <c r="E286" s="66"/>
      <c r="F286" s="66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66"/>
      <c r="B287" s="66"/>
      <c r="C287" s="66"/>
      <c r="D287" s="66"/>
      <c r="E287" s="66"/>
      <c r="F287" s="66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66"/>
      <c r="B288" s="66"/>
      <c r="C288" s="66"/>
      <c r="D288" s="66"/>
      <c r="E288" s="66"/>
      <c r="F288" s="66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66"/>
      <c r="B289" s="66"/>
      <c r="C289" s="66"/>
      <c r="D289" s="66"/>
      <c r="E289" s="66"/>
      <c r="F289" s="66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66"/>
      <c r="B290" s="66"/>
      <c r="C290" s="66"/>
      <c r="D290" s="66"/>
      <c r="E290" s="66"/>
      <c r="F290" s="66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66"/>
      <c r="B291" s="66"/>
      <c r="C291" s="66"/>
      <c r="D291" s="66"/>
      <c r="E291" s="66"/>
      <c r="F291" s="66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66"/>
      <c r="B292" s="66"/>
      <c r="C292" s="66"/>
      <c r="D292" s="66"/>
      <c r="E292" s="66"/>
      <c r="F292" s="66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66"/>
      <c r="B293" s="66"/>
      <c r="C293" s="66"/>
      <c r="D293" s="66"/>
      <c r="E293" s="66"/>
      <c r="F293" s="66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66"/>
      <c r="B294" s="66"/>
      <c r="C294" s="66"/>
      <c r="D294" s="66"/>
      <c r="E294" s="66"/>
      <c r="F294" s="66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66"/>
      <c r="B295" s="66"/>
      <c r="C295" s="66"/>
      <c r="D295" s="66"/>
      <c r="E295" s="66"/>
      <c r="F295" s="66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66"/>
      <c r="B296" s="66"/>
      <c r="C296" s="66"/>
      <c r="D296" s="66"/>
      <c r="E296" s="66"/>
      <c r="F296" s="66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66"/>
      <c r="B297" s="66"/>
      <c r="C297" s="66"/>
      <c r="D297" s="66"/>
      <c r="E297" s="66"/>
      <c r="F297" s="66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66"/>
      <c r="B298" s="66"/>
      <c r="C298" s="66"/>
      <c r="D298" s="66"/>
      <c r="E298" s="66"/>
      <c r="F298" s="66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66"/>
      <c r="B299" s="66"/>
      <c r="C299" s="66"/>
      <c r="D299" s="66"/>
      <c r="E299" s="66"/>
      <c r="F299" s="66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66"/>
      <c r="B300" s="66"/>
      <c r="C300" s="66"/>
      <c r="D300" s="66"/>
      <c r="E300" s="66"/>
      <c r="F300" s="66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66"/>
      <c r="B301" s="66"/>
      <c r="C301" s="66"/>
      <c r="D301" s="66"/>
      <c r="E301" s="66"/>
      <c r="F301" s="66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66"/>
      <c r="B302" s="66"/>
      <c r="C302" s="66"/>
      <c r="D302" s="66"/>
      <c r="E302" s="66"/>
      <c r="F302" s="66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66"/>
      <c r="B303" s="66"/>
      <c r="C303" s="66"/>
      <c r="D303" s="66"/>
      <c r="E303" s="66"/>
      <c r="F303" s="66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66"/>
      <c r="B304" s="66"/>
      <c r="C304" s="66"/>
      <c r="D304" s="66"/>
      <c r="E304" s="66"/>
      <c r="F304" s="66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66"/>
      <c r="B305" s="66"/>
      <c r="C305" s="66"/>
      <c r="D305" s="66"/>
      <c r="E305" s="66"/>
      <c r="F305" s="66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66"/>
      <c r="B306" s="66"/>
      <c r="C306" s="66"/>
      <c r="D306" s="66"/>
      <c r="E306" s="66"/>
      <c r="F306" s="66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66"/>
      <c r="B307" s="66"/>
      <c r="C307" s="66"/>
      <c r="D307" s="66"/>
      <c r="E307" s="66"/>
      <c r="F307" s="66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66"/>
      <c r="B308" s="66"/>
      <c r="C308" s="66"/>
      <c r="D308" s="66"/>
      <c r="E308" s="66"/>
      <c r="F308" s="66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66"/>
      <c r="B309" s="66"/>
      <c r="C309" s="66"/>
      <c r="D309" s="66"/>
      <c r="E309" s="66"/>
      <c r="F309" s="66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66"/>
      <c r="B310" s="66"/>
      <c r="C310" s="66"/>
      <c r="D310" s="66"/>
      <c r="E310" s="66"/>
      <c r="F310" s="66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66"/>
      <c r="B311" s="66"/>
      <c r="C311" s="66"/>
      <c r="D311" s="66"/>
      <c r="E311" s="66"/>
      <c r="F311" s="66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66"/>
      <c r="B312" s="66"/>
      <c r="C312" s="66"/>
      <c r="D312" s="66"/>
      <c r="E312" s="66"/>
      <c r="F312" s="66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66"/>
      <c r="B313" s="66"/>
      <c r="C313" s="66"/>
      <c r="D313" s="66"/>
      <c r="E313" s="66"/>
      <c r="F313" s="66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66"/>
      <c r="B314" s="66"/>
      <c r="C314" s="66"/>
      <c r="D314" s="66"/>
      <c r="E314" s="66"/>
      <c r="F314" s="66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66"/>
      <c r="B315" s="66"/>
      <c r="C315" s="66"/>
      <c r="D315" s="66"/>
      <c r="E315" s="66"/>
      <c r="F315" s="66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66"/>
      <c r="B316" s="66"/>
      <c r="C316" s="66"/>
      <c r="D316" s="66"/>
      <c r="E316" s="66"/>
      <c r="F316" s="66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66"/>
      <c r="B317" s="66"/>
      <c r="C317" s="66"/>
      <c r="D317" s="66"/>
      <c r="E317" s="66"/>
      <c r="F317" s="66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66"/>
      <c r="B318" s="66"/>
      <c r="C318" s="66"/>
      <c r="D318" s="66"/>
      <c r="E318" s="66"/>
      <c r="F318" s="66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66"/>
      <c r="B319" s="66"/>
      <c r="C319" s="66"/>
      <c r="D319" s="66"/>
      <c r="E319" s="66"/>
      <c r="F319" s="66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66"/>
      <c r="B320" s="66"/>
      <c r="C320" s="66"/>
      <c r="D320" s="66"/>
      <c r="E320" s="66"/>
      <c r="F320" s="66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66"/>
      <c r="B321" s="66"/>
      <c r="C321" s="66"/>
      <c r="D321" s="66"/>
      <c r="E321" s="66"/>
      <c r="F321" s="66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66"/>
      <c r="B322" s="66"/>
      <c r="C322" s="66"/>
      <c r="D322" s="66"/>
      <c r="E322" s="66"/>
      <c r="F322" s="66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66"/>
      <c r="B323" s="66"/>
      <c r="C323" s="66"/>
      <c r="D323" s="66"/>
      <c r="E323" s="66"/>
      <c r="F323" s="66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66"/>
      <c r="B324" s="66"/>
      <c r="C324" s="66"/>
      <c r="D324" s="66"/>
      <c r="E324" s="66"/>
      <c r="F324" s="66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66"/>
      <c r="B325" s="66"/>
      <c r="C325" s="66"/>
      <c r="D325" s="66"/>
      <c r="E325" s="66"/>
      <c r="F325" s="66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66"/>
      <c r="B326" s="66"/>
      <c r="C326" s="66"/>
      <c r="D326" s="66"/>
      <c r="E326" s="66"/>
      <c r="F326" s="66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66"/>
      <c r="B327" s="66"/>
      <c r="C327" s="66"/>
      <c r="D327" s="66"/>
      <c r="E327" s="66"/>
      <c r="F327" s="66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66"/>
      <c r="B328" s="66"/>
      <c r="C328" s="66"/>
      <c r="D328" s="66"/>
      <c r="E328" s="66"/>
      <c r="F328" s="66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66"/>
      <c r="B329" s="66"/>
      <c r="C329" s="66"/>
      <c r="D329" s="66"/>
      <c r="E329" s="66"/>
      <c r="F329" s="66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66"/>
      <c r="B330" s="66"/>
      <c r="C330" s="66"/>
      <c r="D330" s="66"/>
      <c r="E330" s="66"/>
      <c r="F330" s="66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66"/>
      <c r="B331" s="66"/>
      <c r="C331" s="66"/>
      <c r="D331" s="66"/>
      <c r="E331" s="66"/>
      <c r="F331" s="66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66"/>
      <c r="B332" s="66"/>
      <c r="C332" s="66"/>
      <c r="D332" s="66"/>
      <c r="E332" s="66"/>
      <c r="F332" s="66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66"/>
      <c r="B333" s="66"/>
      <c r="C333" s="66"/>
      <c r="D333" s="66"/>
      <c r="E333" s="66"/>
      <c r="F333" s="66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66"/>
      <c r="B334" s="66"/>
      <c r="C334" s="66"/>
      <c r="D334" s="66"/>
      <c r="E334" s="66"/>
      <c r="F334" s="66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66"/>
      <c r="B335" s="66"/>
      <c r="C335" s="66"/>
      <c r="D335" s="66"/>
      <c r="E335" s="66"/>
      <c r="F335" s="66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66"/>
      <c r="B336" s="66"/>
      <c r="C336" s="66"/>
      <c r="D336" s="66"/>
      <c r="E336" s="66"/>
      <c r="F336" s="66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66"/>
      <c r="B337" s="66"/>
      <c r="C337" s="66"/>
      <c r="D337" s="66"/>
      <c r="E337" s="66"/>
      <c r="F337" s="66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66"/>
      <c r="B338" s="66"/>
      <c r="C338" s="66"/>
      <c r="D338" s="66"/>
      <c r="E338" s="66"/>
      <c r="F338" s="66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66"/>
      <c r="B339" s="66"/>
      <c r="C339" s="66"/>
      <c r="D339" s="66"/>
      <c r="E339" s="66"/>
      <c r="F339" s="66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66"/>
      <c r="B340" s="66"/>
      <c r="C340" s="66"/>
      <c r="D340" s="66"/>
      <c r="E340" s="66"/>
      <c r="F340" s="66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66"/>
      <c r="B341" s="66"/>
      <c r="C341" s="66"/>
      <c r="D341" s="66"/>
      <c r="E341" s="66"/>
      <c r="F341" s="66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66"/>
      <c r="B342" s="66"/>
      <c r="C342" s="66"/>
      <c r="D342" s="66"/>
      <c r="E342" s="66"/>
      <c r="F342" s="66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66"/>
      <c r="B343" s="66"/>
      <c r="C343" s="66"/>
      <c r="D343" s="66"/>
      <c r="E343" s="66"/>
      <c r="F343" s="66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66"/>
      <c r="B344" s="66"/>
      <c r="C344" s="66"/>
      <c r="D344" s="66"/>
      <c r="E344" s="66"/>
      <c r="F344" s="66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66"/>
      <c r="B345" s="66"/>
      <c r="C345" s="66"/>
      <c r="D345" s="66"/>
      <c r="E345" s="66"/>
      <c r="F345" s="66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66"/>
      <c r="B346" s="66"/>
      <c r="C346" s="66"/>
      <c r="D346" s="66"/>
      <c r="E346" s="66"/>
      <c r="F346" s="66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66"/>
      <c r="B347" s="66"/>
      <c r="C347" s="66"/>
      <c r="D347" s="66"/>
      <c r="E347" s="66"/>
      <c r="F347" s="66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66"/>
      <c r="B348" s="66"/>
      <c r="C348" s="66"/>
      <c r="D348" s="66"/>
      <c r="E348" s="66"/>
      <c r="F348" s="66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66"/>
      <c r="B349" s="66"/>
      <c r="C349" s="66"/>
      <c r="D349" s="66"/>
      <c r="E349" s="66"/>
      <c r="F349" s="66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66"/>
      <c r="B350" s="66"/>
      <c r="C350" s="66"/>
      <c r="D350" s="66"/>
      <c r="E350" s="66"/>
      <c r="F350" s="66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66"/>
      <c r="B351" s="66"/>
      <c r="C351" s="66"/>
      <c r="D351" s="66"/>
      <c r="E351" s="66"/>
      <c r="F351" s="66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66"/>
      <c r="B352" s="66"/>
      <c r="C352" s="66"/>
      <c r="D352" s="66"/>
      <c r="E352" s="66"/>
      <c r="F352" s="66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66"/>
      <c r="B353" s="66"/>
      <c r="C353" s="66"/>
      <c r="D353" s="66"/>
      <c r="E353" s="66"/>
      <c r="F353" s="66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66"/>
      <c r="B354" s="66"/>
      <c r="C354" s="66"/>
      <c r="D354" s="66"/>
      <c r="E354" s="66"/>
      <c r="F354" s="66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66"/>
      <c r="B355" s="66"/>
      <c r="C355" s="66"/>
      <c r="D355" s="66"/>
      <c r="E355" s="66"/>
      <c r="F355" s="66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66"/>
      <c r="B356" s="66"/>
      <c r="C356" s="66"/>
      <c r="D356" s="66"/>
      <c r="E356" s="66"/>
      <c r="F356" s="66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66"/>
      <c r="B357" s="66"/>
      <c r="C357" s="66"/>
      <c r="D357" s="66"/>
      <c r="E357" s="66"/>
      <c r="F357" s="66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66"/>
      <c r="B358" s="66"/>
      <c r="C358" s="66"/>
      <c r="D358" s="66"/>
      <c r="E358" s="66"/>
      <c r="F358" s="66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66"/>
      <c r="B359" s="66"/>
      <c r="C359" s="66"/>
      <c r="D359" s="66"/>
      <c r="E359" s="66"/>
      <c r="F359" s="66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66"/>
      <c r="B360" s="66"/>
      <c r="C360" s="66"/>
      <c r="D360" s="66"/>
      <c r="E360" s="66"/>
      <c r="F360" s="66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66"/>
      <c r="B361" s="66"/>
      <c r="C361" s="66"/>
      <c r="D361" s="66"/>
      <c r="E361" s="66"/>
      <c r="F361" s="66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66"/>
      <c r="B362" s="66"/>
      <c r="C362" s="66"/>
      <c r="D362" s="66"/>
      <c r="E362" s="66"/>
      <c r="F362" s="66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66"/>
      <c r="B363" s="66"/>
      <c r="C363" s="66"/>
      <c r="D363" s="66"/>
      <c r="E363" s="66"/>
      <c r="F363" s="66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66"/>
      <c r="B364" s="66"/>
      <c r="C364" s="66"/>
      <c r="D364" s="66"/>
      <c r="E364" s="66"/>
      <c r="F364" s="66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66"/>
      <c r="B365" s="66"/>
      <c r="C365" s="66"/>
      <c r="D365" s="66"/>
      <c r="E365" s="66"/>
      <c r="F365" s="66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66"/>
      <c r="B366" s="66"/>
      <c r="C366" s="66"/>
      <c r="D366" s="66"/>
      <c r="E366" s="66"/>
      <c r="F366" s="66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66"/>
      <c r="B367" s="66"/>
      <c r="C367" s="66"/>
      <c r="D367" s="66"/>
      <c r="E367" s="66"/>
      <c r="F367" s="66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66"/>
      <c r="B368" s="66"/>
      <c r="C368" s="66"/>
      <c r="D368" s="66"/>
      <c r="E368" s="66"/>
      <c r="F368" s="66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66"/>
      <c r="B369" s="66"/>
      <c r="C369" s="66"/>
      <c r="D369" s="66"/>
      <c r="E369" s="66"/>
      <c r="F369" s="66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66"/>
      <c r="B370" s="66"/>
      <c r="C370" s="66"/>
      <c r="D370" s="66"/>
      <c r="E370" s="66"/>
      <c r="F370" s="66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66"/>
      <c r="B371" s="66"/>
      <c r="C371" s="66"/>
      <c r="D371" s="66"/>
      <c r="E371" s="66"/>
      <c r="F371" s="66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66"/>
      <c r="B372" s="66"/>
      <c r="C372" s="66"/>
      <c r="D372" s="66"/>
      <c r="E372" s="66"/>
      <c r="F372" s="66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66"/>
      <c r="B373" s="66"/>
      <c r="C373" s="66"/>
      <c r="D373" s="66"/>
      <c r="E373" s="66"/>
      <c r="F373" s="66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66"/>
      <c r="B374" s="66"/>
      <c r="C374" s="66"/>
      <c r="D374" s="66"/>
      <c r="E374" s="66"/>
      <c r="F374" s="66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66"/>
      <c r="B375" s="66"/>
      <c r="C375" s="66"/>
      <c r="D375" s="66"/>
      <c r="E375" s="66"/>
      <c r="F375" s="66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66"/>
      <c r="B376" s="66"/>
      <c r="C376" s="66"/>
      <c r="D376" s="66"/>
      <c r="E376" s="66"/>
      <c r="F376" s="66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66"/>
      <c r="B377" s="66"/>
      <c r="C377" s="66"/>
      <c r="D377" s="66"/>
      <c r="E377" s="66"/>
      <c r="F377" s="66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66"/>
      <c r="B378" s="66"/>
      <c r="C378" s="66"/>
      <c r="D378" s="66"/>
      <c r="E378" s="66"/>
      <c r="F378" s="66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66"/>
      <c r="B379" s="66"/>
      <c r="C379" s="66"/>
      <c r="D379" s="66"/>
      <c r="E379" s="66"/>
      <c r="F379" s="66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66"/>
      <c r="B380" s="66"/>
      <c r="C380" s="66"/>
      <c r="D380" s="66"/>
      <c r="E380" s="66"/>
      <c r="F380" s="66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66"/>
      <c r="B381" s="66"/>
      <c r="C381" s="66"/>
      <c r="D381" s="66"/>
      <c r="E381" s="66"/>
      <c r="F381" s="66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66"/>
      <c r="B382" s="66"/>
      <c r="C382" s="66"/>
      <c r="D382" s="66"/>
      <c r="E382" s="66"/>
      <c r="F382" s="66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66"/>
      <c r="B383" s="66"/>
      <c r="C383" s="66"/>
      <c r="D383" s="66"/>
      <c r="E383" s="66"/>
      <c r="F383" s="66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66"/>
      <c r="B384" s="66"/>
      <c r="C384" s="66"/>
      <c r="D384" s="66"/>
      <c r="E384" s="66"/>
      <c r="F384" s="66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66"/>
      <c r="B385" s="66"/>
      <c r="C385" s="66"/>
      <c r="D385" s="66"/>
      <c r="E385" s="66"/>
      <c r="F385" s="66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66"/>
      <c r="B386" s="66"/>
      <c r="C386" s="66"/>
      <c r="D386" s="66"/>
      <c r="E386" s="66"/>
      <c r="F386" s="66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66"/>
      <c r="B387" s="66"/>
      <c r="C387" s="66"/>
      <c r="D387" s="66"/>
      <c r="E387" s="66"/>
      <c r="F387" s="66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66"/>
      <c r="B388" s="66"/>
      <c r="C388" s="66"/>
      <c r="D388" s="66"/>
      <c r="E388" s="66"/>
      <c r="F388" s="66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66"/>
      <c r="B389" s="66"/>
      <c r="C389" s="66"/>
      <c r="D389" s="66"/>
      <c r="E389" s="66"/>
      <c r="F389" s="66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66"/>
      <c r="B390" s="66"/>
      <c r="C390" s="66"/>
      <c r="D390" s="66"/>
      <c r="E390" s="66"/>
      <c r="F390" s="66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66"/>
      <c r="B391" s="66"/>
      <c r="C391" s="66"/>
      <c r="D391" s="66"/>
      <c r="E391" s="66"/>
      <c r="F391" s="66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66"/>
      <c r="B392" s="66"/>
      <c r="C392" s="66"/>
      <c r="D392" s="66"/>
      <c r="E392" s="66"/>
      <c r="F392" s="66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66"/>
      <c r="B393" s="66"/>
      <c r="C393" s="66"/>
      <c r="D393" s="66"/>
      <c r="E393" s="66"/>
      <c r="F393" s="66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66"/>
      <c r="B394" s="66"/>
      <c r="C394" s="66"/>
      <c r="D394" s="66"/>
      <c r="E394" s="66"/>
      <c r="F394" s="66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66"/>
      <c r="B395" s="66"/>
      <c r="C395" s="66"/>
      <c r="D395" s="66"/>
      <c r="E395" s="66"/>
      <c r="F395" s="66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66"/>
      <c r="B396" s="66"/>
      <c r="C396" s="66"/>
      <c r="D396" s="66"/>
      <c r="E396" s="66"/>
      <c r="F396" s="66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66"/>
      <c r="B397" s="66"/>
      <c r="C397" s="66"/>
      <c r="D397" s="66"/>
      <c r="E397" s="66"/>
      <c r="F397" s="66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66"/>
      <c r="B398" s="66"/>
      <c r="C398" s="66"/>
      <c r="D398" s="66"/>
      <c r="E398" s="66"/>
      <c r="F398" s="66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66"/>
      <c r="B399" s="66"/>
      <c r="C399" s="66"/>
      <c r="D399" s="66"/>
      <c r="E399" s="66"/>
      <c r="F399" s="66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66"/>
      <c r="B400" s="66"/>
      <c r="C400" s="66"/>
      <c r="D400" s="66"/>
      <c r="E400" s="66"/>
      <c r="F400" s="66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66"/>
      <c r="B401" s="66"/>
      <c r="C401" s="66"/>
      <c r="D401" s="66"/>
      <c r="E401" s="66"/>
      <c r="F401" s="66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66"/>
      <c r="B402" s="66"/>
      <c r="C402" s="66"/>
      <c r="D402" s="66"/>
      <c r="E402" s="66"/>
      <c r="F402" s="66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66"/>
      <c r="B403" s="66"/>
      <c r="C403" s="66"/>
      <c r="D403" s="66"/>
      <c r="E403" s="66"/>
      <c r="F403" s="66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66"/>
      <c r="B404" s="66"/>
      <c r="C404" s="66"/>
      <c r="D404" s="66"/>
      <c r="E404" s="66"/>
      <c r="F404" s="66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66"/>
      <c r="B405" s="66"/>
      <c r="C405" s="66"/>
      <c r="D405" s="66"/>
      <c r="E405" s="66"/>
      <c r="F405" s="66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66"/>
      <c r="B406" s="66"/>
      <c r="C406" s="66"/>
      <c r="D406" s="66"/>
      <c r="E406" s="66"/>
      <c r="F406" s="66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66"/>
      <c r="B407" s="66"/>
      <c r="C407" s="66"/>
      <c r="D407" s="66"/>
      <c r="E407" s="66"/>
      <c r="F407" s="66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66"/>
      <c r="B408" s="66"/>
      <c r="C408" s="66"/>
      <c r="D408" s="66"/>
      <c r="E408" s="66"/>
      <c r="F408" s="66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66"/>
      <c r="B409" s="66"/>
      <c r="C409" s="66"/>
      <c r="D409" s="66"/>
      <c r="E409" s="66"/>
      <c r="F409" s="66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66"/>
      <c r="B410" s="66"/>
      <c r="C410" s="66"/>
      <c r="D410" s="66"/>
      <c r="E410" s="66"/>
      <c r="F410" s="66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66"/>
      <c r="B411" s="66"/>
      <c r="C411" s="66"/>
      <c r="D411" s="66"/>
      <c r="E411" s="66"/>
      <c r="F411" s="66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66"/>
      <c r="B412" s="66"/>
      <c r="C412" s="66"/>
      <c r="D412" s="66"/>
      <c r="E412" s="66"/>
      <c r="F412" s="66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66"/>
      <c r="B413" s="66"/>
      <c r="C413" s="66"/>
      <c r="D413" s="66"/>
      <c r="E413" s="66"/>
      <c r="F413" s="66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66"/>
      <c r="B414" s="66"/>
      <c r="C414" s="66"/>
      <c r="D414" s="66"/>
      <c r="E414" s="66"/>
      <c r="F414" s="66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66"/>
      <c r="B415" s="66"/>
      <c r="C415" s="66"/>
      <c r="D415" s="66"/>
      <c r="E415" s="66"/>
      <c r="F415" s="66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66"/>
      <c r="B416" s="66"/>
      <c r="C416" s="66"/>
      <c r="D416" s="66"/>
      <c r="E416" s="66"/>
      <c r="F416" s="66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66"/>
      <c r="B417" s="66"/>
      <c r="C417" s="66"/>
      <c r="D417" s="66"/>
      <c r="E417" s="66"/>
      <c r="F417" s="66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66"/>
      <c r="B418" s="66"/>
      <c r="C418" s="66"/>
      <c r="D418" s="66"/>
      <c r="E418" s="66"/>
      <c r="F418" s="66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66"/>
      <c r="B419" s="66"/>
      <c r="C419" s="66"/>
      <c r="D419" s="66"/>
      <c r="E419" s="66"/>
      <c r="F419" s="66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66"/>
      <c r="B420" s="66"/>
      <c r="C420" s="66"/>
      <c r="D420" s="66"/>
      <c r="E420" s="66"/>
      <c r="F420" s="66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66"/>
      <c r="B421" s="66"/>
      <c r="C421" s="66"/>
      <c r="D421" s="66"/>
      <c r="E421" s="66"/>
      <c r="F421" s="66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66"/>
      <c r="B422" s="66"/>
      <c r="C422" s="66"/>
      <c r="D422" s="66"/>
      <c r="E422" s="66"/>
      <c r="F422" s="66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66"/>
      <c r="B423" s="66"/>
      <c r="C423" s="66"/>
      <c r="D423" s="66"/>
      <c r="E423" s="66"/>
      <c r="F423" s="66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66"/>
      <c r="B424" s="66"/>
      <c r="C424" s="66"/>
      <c r="D424" s="66"/>
      <c r="E424" s="66"/>
      <c r="F424" s="66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66"/>
      <c r="B425" s="66"/>
      <c r="C425" s="66"/>
      <c r="D425" s="66"/>
      <c r="E425" s="66"/>
      <c r="F425" s="66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66"/>
      <c r="B426" s="66"/>
      <c r="C426" s="66"/>
      <c r="D426" s="66"/>
      <c r="E426" s="66"/>
      <c r="F426" s="66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66"/>
      <c r="B427" s="66"/>
      <c r="C427" s="66"/>
      <c r="D427" s="66"/>
      <c r="E427" s="66"/>
      <c r="F427" s="66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66"/>
      <c r="B428" s="66"/>
      <c r="C428" s="66"/>
      <c r="D428" s="66"/>
      <c r="E428" s="66"/>
      <c r="F428" s="66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66"/>
      <c r="B429" s="66"/>
      <c r="C429" s="66"/>
      <c r="D429" s="66"/>
      <c r="E429" s="66"/>
      <c r="F429" s="66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66"/>
      <c r="B430" s="66"/>
      <c r="C430" s="66"/>
      <c r="D430" s="66"/>
      <c r="E430" s="66"/>
      <c r="F430" s="66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66"/>
      <c r="B431" s="66"/>
      <c r="C431" s="66"/>
      <c r="D431" s="66"/>
      <c r="E431" s="66"/>
      <c r="F431" s="66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66"/>
      <c r="B432" s="66"/>
      <c r="C432" s="66"/>
      <c r="D432" s="66"/>
      <c r="E432" s="66"/>
      <c r="F432" s="66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66"/>
      <c r="B433" s="66"/>
      <c r="C433" s="66"/>
      <c r="D433" s="66"/>
      <c r="E433" s="66"/>
      <c r="F433" s="66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66"/>
      <c r="B434" s="66"/>
      <c r="C434" s="66"/>
      <c r="D434" s="66"/>
      <c r="E434" s="66"/>
      <c r="F434" s="66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66"/>
      <c r="B435" s="66"/>
      <c r="C435" s="66"/>
      <c r="D435" s="66"/>
      <c r="E435" s="66"/>
      <c r="F435" s="66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66"/>
      <c r="B436" s="66"/>
      <c r="C436" s="66"/>
      <c r="D436" s="66"/>
      <c r="E436" s="66"/>
      <c r="F436" s="66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66"/>
      <c r="B437" s="66"/>
      <c r="C437" s="66"/>
      <c r="D437" s="66"/>
      <c r="E437" s="66"/>
      <c r="F437" s="66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66"/>
      <c r="B438" s="66"/>
      <c r="C438" s="66"/>
      <c r="D438" s="66"/>
      <c r="E438" s="66"/>
      <c r="F438" s="66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66"/>
      <c r="B439" s="66"/>
      <c r="C439" s="66"/>
      <c r="D439" s="66"/>
      <c r="E439" s="66"/>
      <c r="F439" s="66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66"/>
      <c r="B440" s="66"/>
      <c r="C440" s="66"/>
      <c r="D440" s="66"/>
      <c r="E440" s="66"/>
      <c r="F440" s="66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66"/>
      <c r="B441" s="66"/>
      <c r="C441" s="66"/>
      <c r="D441" s="66"/>
      <c r="E441" s="66"/>
      <c r="F441" s="66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66"/>
      <c r="B442" s="66"/>
      <c r="C442" s="66"/>
      <c r="D442" s="66"/>
      <c r="E442" s="66"/>
      <c r="F442" s="66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66"/>
      <c r="B443" s="66"/>
      <c r="C443" s="66"/>
      <c r="D443" s="66"/>
      <c r="E443" s="66"/>
      <c r="F443" s="66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66"/>
      <c r="B444" s="66"/>
      <c r="C444" s="66"/>
      <c r="D444" s="66"/>
      <c r="E444" s="66"/>
      <c r="F444" s="66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66"/>
      <c r="B445" s="66"/>
      <c r="C445" s="66"/>
      <c r="D445" s="66"/>
      <c r="E445" s="66"/>
      <c r="F445" s="66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66"/>
      <c r="B446" s="66"/>
      <c r="C446" s="66"/>
      <c r="D446" s="66"/>
      <c r="E446" s="66"/>
      <c r="F446" s="66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66"/>
      <c r="B447" s="66"/>
      <c r="C447" s="66"/>
      <c r="D447" s="66"/>
      <c r="E447" s="66"/>
      <c r="F447" s="66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66"/>
      <c r="B448" s="66"/>
      <c r="C448" s="66"/>
      <c r="D448" s="66"/>
      <c r="E448" s="66"/>
      <c r="F448" s="66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66"/>
      <c r="B449" s="66"/>
      <c r="C449" s="66"/>
      <c r="D449" s="66"/>
      <c r="E449" s="66"/>
      <c r="F449" s="66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66"/>
      <c r="B450" s="66"/>
      <c r="C450" s="66"/>
      <c r="D450" s="66"/>
      <c r="E450" s="66"/>
      <c r="F450" s="66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66"/>
      <c r="B451" s="66"/>
      <c r="C451" s="66"/>
      <c r="D451" s="66"/>
      <c r="E451" s="66"/>
      <c r="F451" s="66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66"/>
      <c r="B452" s="66"/>
      <c r="C452" s="66"/>
      <c r="D452" s="66"/>
      <c r="E452" s="66"/>
      <c r="F452" s="66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66"/>
      <c r="B453" s="66"/>
      <c r="C453" s="66"/>
      <c r="D453" s="66"/>
      <c r="E453" s="66"/>
      <c r="F453" s="66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66"/>
      <c r="B454" s="66"/>
      <c r="C454" s="66"/>
      <c r="D454" s="66"/>
      <c r="E454" s="66"/>
      <c r="F454" s="66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66"/>
      <c r="B455" s="66"/>
      <c r="C455" s="66"/>
      <c r="D455" s="66"/>
      <c r="E455" s="66"/>
      <c r="F455" s="66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66"/>
      <c r="B456" s="66"/>
      <c r="C456" s="66"/>
      <c r="D456" s="66"/>
      <c r="E456" s="66"/>
      <c r="F456" s="66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66"/>
      <c r="B457" s="66"/>
      <c r="C457" s="66"/>
      <c r="D457" s="66"/>
      <c r="E457" s="66"/>
      <c r="F457" s="66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66"/>
      <c r="B458" s="66"/>
      <c r="C458" s="66"/>
      <c r="D458" s="66"/>
      <c r="E458" s="66"/>
      <c r="F458" s="66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66"/>
      <c r="B459" s="66"/>
      <c r="C459" s="66"/>
      <c r="D459" s="66"/>
      <c r="E459" s="66"/>
      <c r="F459" s="66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66"/>
      <c r="B460" s="66"/>
      <c r="C460" s="66"/>
      <c r="D460" s="66"/>
      <c r="E460" s="66"/>
      <c r="F460" s="66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66"/>
      <c r="B461" s="66"/>
      <c r="C461" s="66"/>
      <c r="D461" s="66"/>
      <c r="E461" s="66"/>
      <c r="F461" s="66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66"/>
      <c r="B462" s="66"/>
      <c r="C462" s="66"/>
      <c r="D462" s="66"/>
      <c r="E462" s="66"/>
      <c r="F462" s="66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66"/>
      <c r="B463" s="66"/>
      <c r="C463" s="66"/>
      <c r="D463" s="66"/>
      <c r="E463" s="66"/>
      <c r="F463" s="66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66"/>
      <c r="B464" s="66"/>
      <c r="C464" s="66"/>
      <c r="D464" s="66"/>
      <c r="E464" s="66"/>
      <c r="F464" s="66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66"/>
      <c r="B465" s="66"/>
      <c r="C465" s="66"/>
      <c r="D465" s="66"/>
      <c r="E465" s="66"/>
      <c r="F465" s="66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66"/>
      <c r="B466" s="66"/>
      <c r="C466" s="66"/>
      <c r="D466" s="66"/>
      <c r="E466" s="66"/>
      <c r="F466" s="66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66"/>
      <c r="B467" s="66"/>
      <c r="C467" s="66"/>
      <c r="D467" s="66"/>
      <c r="E467" s="66"/>
      <c r="F467" s="66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66"/>
      <c r="B468" s="66"/>
      <c r="C468" s="66"/>
      <c r="D468" s="66"/>
      <c r="E468" s="66"/>
      <c r="F468" s="66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66"/>
      <c r="B469" s="66"/>
      <c r="C469" s="66"/>
      <c r="D469" s="66"/>
      <c r="E469" s="66"/>
      <c r="F469" s="66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66"/>
      <c r="B470" s="66"/>
      <c r="C470" s="66"/>
      <c r="D470" s="66"/>
      <c r="E470" s="66"/>
      <c r="F470" s="66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66"/>
      <c r="B471" s="66"/>
      <c r="C471" s="66"/>
      <c r="D471" s="66"/>
      <c r="E471" s="66"/>
      <c r="F471" s="66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66"/>
      <c r="B472" s="66"/>
      <c r="C472" s="66"/>
      <c r="D472" s="66"/>
      <c r="E472" s="66"/>
      <c r="F472" s="66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66"/>
      <c r="B473" s="66"/>
      <c r="C473" s="66"/>
      <c r="D473" s="66"/>
      <c r="E473" s="66"/>
      <c r="F473" s="66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66"/>
      <c r="B474" s="66"/>
      <c r="C474" s="66"/>
      <c r="D474" s="66"/>
      <c r="E474" s="66"/>
      <c r="F474" s="66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66"/>
      <c r="B475" s="66"/>
      <c r="C475" s="66"/>
      <c r="D475" s="66"/>
      <c r="E475" s="66"/>
      <c r="F475" s="66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66"/>
      <c r="B476" s="66"/>
      <c r="C476" s="66"/>
      <c r="D476" s="66"/>
      <c r="E476" s="66"/>
      <c r="F476" s="66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66"/>
      <c r="B477" s="66"/>
      <c r="C477" s="66"/>
      <c r="D477" s="66"/>
      <c r="E477" s="66"/>
      <c r="F477" s="66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66"/>
      <c r="B478" s="66"/>
      <c r="C478" s="66"/>
      <c r="D478" s="66"/>
      <c r="E478" s="66"/>
      <c r="F478" s="66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66"/>
      <c r="B479" s="66"/>
      <c r="C479" s="66"/>
      <c r="D479" s="66"/>
      <c r="E479" s="66"/>
      <c r="F479" s="66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66"/>
      <c r="B480" s="66"/>
      <c r="C480" s="66"/>
      <c r="D480" s="66"/>
      <c r="E480" s="66"/>
      <c r="F480" s="66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66"/>
      <c r="B481" s="66"/>
      <c r="C481" s="66"/>
      <c r="D481" s="66"/>
      <c r="E481" s="66"/>
      <c r="F481" s="66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66"/>
      <c r="B482" s="66"/>
      <c r="C482" s="66"/>
      <c r="D482" s="66"/>
      <c r="E482" s="66"/>
      <c r="F482" s="66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66"/>
      <c r="B483" s="66"/>
      <c r="C483" s="66"/>
      <c r="D483" s="66"/>
      <c r="E483" s="66"/>
      <c r="F483" s="66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66"/>
      <c r="B484" s="66"/>
      <c r="C484" s="66"/>
      <c r="D484" s="66"/>
      <c r="E484" s="66"/>
      <c r="F484" s="66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66"/>
      <c r="B485" s="66"/>
      <c r="C485" s="66"/>
      <c r="D485" s="66"/>
      <c r="E485" s="66"/>
      <c r="F485" s="66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66"/>
      <c r="B486" s="66"/>
      <c r="C486" s="66"/>
      <c r="D486" s="66"/>
      <c r="E486" s="66"/>
      <c r="F486" s="66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66"/>
      <c r="B487" s="66"/>
      <c r="C487" s="66"/>
      <c r="D487" s="66"/>
      <c r="E487" s="66"/>
      <c r="F487" s="66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66"/>
      <c r="B488" s="66"/>
      <c r="C488" s="66"/>
      <c r="D488" s="66"/>
      <c r="E488" s="66"/>
      <c r="F488" s="66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66"/>
      <c r="B489" s="66"/>
      <c r="C489" s="66"/>
      <c r="D489" s="66"/>
      <c r="E489" s="66"/>
      <c r="F489" s="66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66"/>
      <c r="B490" s="66"/>
      <c r="C490" s="66"/>
      <c r="D490" s="66"/>
      <c r="E490" s="66"/>
      <c r="F490" s="66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66"/>
      <c r="B491" s="66"/>
      <c r="C491" s="66"/>
      <c r="D491" s="66"/>
      <c r="E491" s="66"/>
      <c r="F491" s="66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66"/>
      <c r="B492" s="66"/>
      <c r="C492" s="66"/>
      <c r="D492" s="66"/>
      <c r="E492" s="66"/>
      <c r="F492" s="66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66"/>
      <c r="B493" s="66"/>
      <c r="C493" s="66"/>
      <c r="D493" s="66"/>
      <c r="E493" s="66"/>
      <c r="F493" s="66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66"/>
      <c r="B494" s="66"/>
      <c r="C494" s="66"/>
      <c r="D494" s="66"/>
      <c r="E494" s="66"/>
      <c r="F494" s="66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66"/>
      <c r="B495" s="66"/>
      <c r="C495" s="66"/>
      <c r="D495" s="66"/>
      <c r="E495" s="66"/>
      <c r="F495" s="66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66"/>
      <c r="B496" s="66"/>
      <c r="C496" s="66"/>
      <c r="D496" s="66"/>
      <c r="E496" s="66"/>
      <c r="F496" s="66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66"/>
      <c r="B497" s="66"/>
      <c r="C497" s="66"/>
      <c r="D497" s="66"/>
      <c r="E497" s="66"/>
      <c r="F497" s="66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66"/>
      <c r="B498" s="66"/>
      <c r="C498" s="66"/>
      <c r="D498" s="66"/>
      <c r="E498" s="66"/>
      <c r="F498" s="66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66"/>
      <c r="B499" s="66"/>
      <c r="C499" s="66"/>
      <c r="D499" s="66"/>
      <c r="E499" s="66"/>
      <c r="F499" s="66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66"/>
      <c r="B500" s="66"/>
      <c r="C500" s="66"/>
      <c r="D500" s="66"/>
      <c r="E500" s="66"/>
      <c r="F500" s="66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66"/>
      <c r="B501" s="66"/>
      <c r="C501" s="66"/>
      <c r="D501" s="66"/>
      <c r="E501" s="66"/>
      <c r="F501" s="66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66"/>
      <c r="B502" s="66"/>
      <c r="C502" s="66"/>
      <c r="D502" s="66"/>
      <c r="E502" s="66"/>
      <c r="F502" s="66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66"/>
      <c r="B503" s="66"/>
      <c r="C503" s="66"/>
      <c r="D503" s="66"/>
      <c r="E503" s="66"/>
      <c r="F503" s="66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66"/>
      <c r="B504" s="66"/>
      <c r="C504" s="66"/>
      <c r="D504" s="66"/>
      <c r="E504" s="66"/>
      <c r="F504" s="66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66"/>
      <c r="B505" s="66"/>
      <c r="C505" s="66"/>
      <c r="D505" s="66"/>
      <c r="E505" s="66"/>
      <c r="F505" s="66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66"/>
      <c r="B506" s="66"/>
      <c r="C506" s="66"/>
      <c r="D506" s="66"/>
      <c r="E506" s="66"/>
      <c r="F506" s="66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66"/>
      <c r="B507" s="66"/>
      <c r="C507" s="66"/>
      <c r="D507" s="66"/>
      <c r="E507" s="66"/>
      <c r="F507" s="66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66"/>
      <c r="B508" s="66"/>
      <c r="C508" s="66"/>
      <c r="D508" s="66"/>
      <c r="E508" s="66"/>
      <c r="F508" s="66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66"/>
      <c r="B509" s="66"/>
      <c r="C509" s="66"/>
      <c r="D509" s="66"/>
      <c r="E509" s="66"/>
      <c r="F509" s="66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66"/>
      <c r="B510" s="66"/>
      <c r="C510" s="66"/>
      <c r="D510" s="66"/>
      <c r="E510" s="66"/>
      <c r="F510" s="66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66"/>
      <c r="B511" s="66"/>
      <c r="C511" s="66"/>
      <c r="D511" s="66"/>
      <c r="E511" s="66"/>
      <c r="F511" s="66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66"/>
      <c r="B512" s="66"/>
      <c r="C512" s="66"/>
      <c r="D512" s="66"/>
      <c r="E512" s="66"/>
      <c r="F512" s="66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66"/>
      <c r="B513" s="66"/>
      <c r="C513" s="66"/>
      <c r="D513" s="66"/>
      <c r="E513" s="66"/>
      <c r="F513" s="66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66"/>
      <c r="B514" s="66"/>
      <c r="C514" s="66"/>
      <c r="D514" s="66"/>
      <c r="E514" s="66"/>
      <c r="F514" s="66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66"/>
      <c r="B515" s="66"/>
      <c r="C515" s="66"/>
      <c r="D515" s="66"/>
      <c r="E515" s="66"/>
      <c r="F515" s="66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66"/>
      <c r="B516" s="66"/>
      <c r="C516" s="66"/>
      <c r="D516" s="66"/>
      <c r="E516" s="66"/>
      <c r="F516" s="66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66"/>
      <c r="B517" s="66"/>
      <c r="C517" s="66"/>
      <c r="D517" s="66"/>
      <c r="E517" s="66"/>
      <c r="F517" s="66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66"/>
      <c r="B518" s="66"/>
      <c r="C518" s="66"/>
      <c r="D518" s="66"/>
      <c r="E518" s="66"/>
      <c r="F518" s="66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66"/>
      <c r="B519" s="66"/>
      <c r="C519" s="66"/>
      <c r="D519" s="66"/>
      <c r="E519" s="66"/>
      <c r="F519" s="66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66"/>
      <c r="B520" s="66"/>
      <c r="C520" s="66"/>
      <c r="D520" s="66"/>
      <c r="E520" s="66"/>
      <c r="F520" s="66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66"/>
      <c r="B521" s="66"/>
      <c r="C521" s="66"/>
      <c r="D521" s="66"/>
      <c r="E521" s="66"/>
      <c r="F521" s="66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66"/>
      <c r="B522" s="66"/>
      <c r="C522" s="66"/>
      <c r="D522" s="66"/>
      <c r="E522" s="66"/>
      <c r="F522" s="66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66"/>
      <c r="B523" s="66"/>
      <c r="C523" s="66"/>
      <c r="D523" s="66"/>
      <c r="E523" s="66"/>
      <c r="F523" s="66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66"/>
      <c r="B524" s="66"/>
      <c r="C524" s="66"/>
      <c r="D524" s="66"/>
      <c r="E524" s="66"/>
      <c r="F524" s="66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66"/>
      <c r="B525" s="66"/>
      <c r="C525" s="66"/>
      <c r="D525" s="66"/>
      <c r="E525" s="66"/>
      <c r="F525" s="66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66"/>
      <c r="B526" s="66"/>
      <c r="C526" s="66"/>
      <c r="D526" s="66"/>
      <c r="E526" s="66"/>
      <c r="F526" s="66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66"/>
      <c r="B527" s="66"/>
      <c r="C527" s="66"/>
      <c r="D527" s="66"/>
      <c r="E527" s="66"/>
      <c r="F527" s="66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66"/>
      <c r="B528" s="66"/>
      <c r="C528" s="66"/>
      <c r="D528" s="66"/>
      <c r="E528" s="66"/>
      <c r="F528" s="66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66"/>
      <c r="B529" s="66"/>
      <c r="C529" s="66"/>
      <c r="D529" s="66"/>
      <c r="E529" s="66"/>
      <c r="F529" s="66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66"/>
      <c r="B530" s="66"/>
      <c r="C530" s="66"/>
      <c r="D530" s="66"/>
      <c r="E530" s="66"/>
      <c r="F530" s="66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66"/>
      <c r="B531" s="66"/>
      <c r="C531" s="66"/>
      <c r="D531" s="66"/>
      <c r="E531" s="66"/>
      <c r="F531" s="66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66"/>
      <c r="B532" s="66"/>
      <c r="C532" s="66"/>
      <c r="D532" s="66"/>
      <c r="E532" s="66"/>
      <c r="F532" s="66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66"/>
      <c r="B533" s="66"/>
      <c r="C533" s="66"/>
      <c r="D533" s="66"/>
      <c r="E533" s="66"/>
      <c r="F533" s="66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66"/>
      <c r="B534" s="66"/>
      <c r="C534" s="66"/>
      <c r="D534" s="66"/>
      <c r="E534" s="66"/>
      <c r="F534" s="66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66"/>
      <c r="B535" s="66"/>
      <c r="C535" s="66"/>
      <c r="D535" s="66"/>
      <c r="E535" s="66"/>
      <c r="F535" s="66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66"/>
      <c r="B536" s="66"/>
      <c r="C536" s="66"/>
      <c r="D536" s="66"/>
      <c r="E536" s="66"/>
      <c r="F536" s="66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66"/>
      <c r="B537" s="66"/>
      <c r="C537" s="66"/>
      <c r="D537" s="66"/>
      <c r="E537" s="66"/>
      <c r="F537" s="66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66"/>
      <c r="B538" s="66"/>
      <c r="C538" s="66"/>
      <c r="D538" s="66"/>
      <c r="E538" s="66"/>
      <c r="F538" s="66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66"/>
      <c r="B539" s="66"/>
      <c r="C539" s="66"/>
      <c r="D539" s="66"/>
      <c r="E539" s="66"/>
      <c r="F539" s="66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66"/>
      <c r="B540" s="66"/>
      <c r="C540" s="66"/>
      <c r="D540" s="66"/>
      <c r="E540" s="66"/>
      <c r="F540" s="66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66"/>
      <c r="B541" s="66"/>
      <c r="C541" s="66"/>
      <c r="D541" s="66"/>
      <c r="E541" s="66"/>
      <c r="F541" s="66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66"/>
      <c r="B542" s="66"/>
      <c r="C542" s="66"/>
      <c r="D542" s="66"/>
      <c r="E542" s="66"/>
      <c r="F542" s="66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66"/>
      <c r="B543" s="66"/>
      <c r="C543" s="66"/>
      <c r="D543" s="66"/>
      <c r="E543" s="66"/>
      <c r="F543" s="66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66"/>
      <c r="B544" s="66"/>
      <c r="C544" s="66"/>
      <c r="D544" s="66"/>
      <c r="E544" s="66"/>
      <c r="F544" s="66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66"/>
      <c r="B545" s="66"/>
      <c r="C545" s="66"/>
      <c r="D545" s="66"/>
      <c r="E545" s="66"/>
      <c r="F545" s="66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66"/>
      <c r="B546" s="66"/>
      <c r="C546" s="66"/>
      <c r="D546" s="66"/>
      <c r="E546" s="66"/>
      <c r="F546" s="66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66"/>
      <c r="B547" s="66"/>
      <c r="C547" s="66"/>
      <c r="D547" s="66"/>
      <c r="E547" s="66"/>
      <c r="F547" s="66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66"/>
      <c r="B548" s="66"/>
      <c r="C548" s="66"/>
      <c r="D548" s="66"/>
      <c r="E548" s="66"/>
      <c r="F548" s="66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66"/>
      <c r="B549" s="66"/>
      <c r="C549" s="66"/>
      <c r="D549" s="66"/>
      <c r="E549" s="66"/>
      <c r="F549" s="66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66"/>
      <c r="B550" s="66"/>
      <c r="C550" s="66"/>
      <c r="D550" s="66"/>
      <c r="E550" s="66"/>
      <c r="F550" s="66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66"/>
      <c r="B551" s="66"/>
      <c r="C551" s="66"/>
      <c r="D551" s="66"/>
      <c r="E551" s="66"/>
      <c r="F551" s="66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66"/>
      <c r="B552" s="66"/>
      <c r="C552" s="66"/>
      <c r="D552" s="66"/>
      <c r="E552" s="66"/>
      <c r="F552" s="66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66"/>
      <c r="B553" s="66"/>
      <c r="C553" s="66"/>
      <c r="D553" s="66"/>
      <c r="E553" s="66"/>
      <c r="F553" s="66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66"/>
      <c r="B554" s="66"/>
      <c r="C554" s="66"/>
      <c r="D554" s="66"/>
      <c r="E554" s="66"/>
      <c r="F554" s="66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66"/>
      <c r="B555" s="66"/>
      <c r="C555" s="66"/>
      <c r="D555" s="66"/>
      <c r="E555" s="66"/>
      <c r="F555" s="66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66"/>
      <c r="B556" s="66"/>
      <c r="C556" s="66"/>
      <c r="D556" s="66"/>
      <c r="E556" s="66"/>
      <c r="F556" s="66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66"/>
      <c r="B557" s="66"/>
      <c r="C557" s="66"/>
      <c r="D557" s="66"/>
      <c r="E557" s="66"/>
      <c r="F557" s="66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66"/>
      <c r="B558" s="66"/>
      <c r="C558" s="66"/>
      <c r="D558" s="66"/>
      <c r="E558" s="66"/>
      <c r="F558" s="66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66"/>
      <c r="B559" s="66"/>
      <c r="C559" s="66"/>
      <c r="D559" s="66"/>
      <c r="E559" s="66"/>
      <c r="F559" s="66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66"/>
      <c r="B560" s="66"/>
      <c r="C560" s="66"/>
      <c r="D560" s="66"/>
      <c r="E560" s="66"/>
      <c r="F560" s="66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66"/>
      <c r="B561" s="66"/>
      <c r="C561" s="66"/>
      <c r="D561" s="66"/>
      <c r="E561" s="66"/>
      <c r="F561" s="66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66"/>
      <c r="B562" s="66"/>
      <c r="C562" s="66"/>
      <c r="D562" s="66"/>
      <c r="E562" s="66"/>
      <c r="F562" s="66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66"/>
      <c r="B563" s="66"/>
      <c r="C563" s="66"/>
      <c r="D563" s="66"/>
      <c r="E563" s="66"/>
      <c r="F563" s="66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66"/>
      <c r="B564" s="66"/>
      <c r="C564" s="66"/>
      <c r="D564" s="66"/>
      <c r="E564" s="66"/>
      <c r="F564" s="66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66"/>
      <c r="B565" s="66"/>
      <c r="C565" s="66"/>
      <c r="D565" s="66"/>
      <c r="E565" s="66"/>
      <c r="F565" s="66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66"/>
      <c r="B566" s="66"/>
      <c r="C566" s="66"/>
      <c r="D566" s="66"/>
      <c r="E566" s="66"/>
      <c r="F566" s="66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66"/>
      <c r="B567" s="66"/>
      <c r="C567" s="66"/>
      <c r="D567" s="66"/>
      <c r="E567" s="66"/>
      <c r="F567" s="66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66"/>
      <c r="B568" s="66"/>
      <c r="C568" s="66"/>
      <c r="D568" s="66"/>
      <c r="E568" s="66"/>
      <c r="F568" s="66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66"/>
      <c r="B569" s="66"/>
      <c r="C569" s="66"/>
      <c r="D569" s="66"/>
      <c r="E569" s="66"/>
      <c r="F569" s="66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66"/>
      <c r="B570" s="66"/>
      <c r="C570" s="66"/>
      <c r="D570" s="66"/>
      <c r="E570" s="66"/>
      <c r="F570" s="66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66"/>
      <c r="B571" s="66"/>
      <c r="C571" s="66"/>
      <c r="D571" s="66"/>
      <c r="E571" s="66"/>
      <c r="F571" s="66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66"/>
      <c r="B572" s="66"/>
      <c r="C572" s="66"/>
      <c r="D572" s="66"/>
      <c r="E572" s="66"/>
      <c r="F572" s="66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66"/>
      <c r="B573" s="66"/>
      <c r="C573" s="66"/>
      <c r="D573" s="66"/>
      <c r="E573" s="66"/>
      <c r="F573" s="66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66"/>
      <c r="B574" s="66"/>
      <c r="C574" s="66"/>
      <c r="D574" s="66"/>
      <c r="E574" s="66"/>
      <c r="F574" s="66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66"/>
      <c r="B575" s="66"/>
      <c r="C575" s="66"/>
      <c r="D575" s="66"/>
      <c r="E575" s="66"/>
      <c r="F575" s="66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66"/>
      <c r="B576" s="66"/>
      <c r="C576" s="66"/>
      <c r="D576" s="66"/>
      <c r="E576" s="66"/>
      <c r="F576" s="66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66"/>
      <c r="B577" s="66"/>
      <c r="C577" s="66"/>
      <c r="D577" s="66"/>
      <c r="E577" s="66"/>
      <c r="F577" s="66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66"/>
      <c r="B578" s="66"/>
      <c r="C578" s="66"/>
      <c r="D578" s="66"/>
      <c r="E578" s="66"/>
      <c r="F578" s="66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66"/>
      <c r="B579" s="66"/>
      <c r="C579" s="66"/>
      <c r="D579" s="66"/>
      <c r="E579" s="66"/>
      <c r="F579" s="66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66"/>
      <c r="B580" s="66"/>
      <c r="C580" s="66"/>
      <c r="D580" s="66"/>
      <c r="E580" s="66"/>
      <c r="F580" s="66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66"/>
      <c r="B581" s="66"/>
      <c r="C581" s="66"/>
      <c r="D581" s="66"/>
      <c r="E581" s="66"/>
      <c r="F581" s="66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66"/>
      <c r="B582" s="66"/>
      <c r="C582" s="66"/>
      <c r="D582" s="66"/>
      <c r="E582" s="66"/>
      <c r="F582" s="66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66"/>
      <c r="B583" s="66"/>
      <c r="C583" s="66"/>
      <c r="D583" s="66"/>
      <c r="E583" s="66"/>
      <c r="F583" s="66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66"/>
      <c r="B584" s="66"/>
      <c r="C584" s="66"/>
      <c r="D584" s="66"/>
      <c r="E584" s="66"/>
      <c r="F584" s="66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66"/>
      <c r="B585" s="66"/>
      <c r="C585" s="66"/>
      <c r="D585" s="66"/>
      <c r="E585" s="66"/>
      <c r="F585" s="66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66"/>
      <c r="B586" s="66"/>
      <c r="C586" s="66"/>
      <c r="D586" s="66"/>
      <c r="E586" s="66"/>
      <c r="F586" s="66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66"/>
      <c r="B587" s="66"/>
      <c r="C587" s="66"/>
      <c r="D587" s="66"/>
      <c r="E587" s="66"/>
      <c r="F587" s="66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66"/>
      <c r="B588" s="66"/>
      <c r="C588" s="66"/>
      <c r="D588" s="66"/>
      <c r="E588" s="66"/>
      <c r="F588" s="66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66"/>
      <c r="B589" s="66"/>
      <c r="C589" s="66"/>
      <c r="D589" s="66"/>
      <c r="E589" s="66"/>
      <c r="F589" s="66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66"/>
      <c r="B590" s="66"/>
      <c r="C590" s="66"/>
      <c r="D590" s="66"/>
      <c r="E590" s="66"/>
      <c r="F590" s="66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66"/>
      <c r="B591" s="66"/>
      <c r="C591" s="66"/>
      <c r="D591" s="66"/>
      <c r="E591" s="66"/>
      <c r="F591" s="66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66"/>
      <c r="B592" s="66"/>
      <c r="C592" s="66"/>
      <c r="D592" s="66"/>
      <c r="E592" s="66"/>
      <c r="F592" s="66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66"/>
      <c r="B593" s="66"/>
      <c r="C593" s="66"/>
      <c r="D593" s="66"/>
      <c r="E593" s="66"/>
      <c r="F593" s="66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66"/>
      <c r="B594" s="66"/>
      <c r="C594" s="66"/>
      <c r="D594" s="66"/>
      <c r="E594" s="66"/>
      <c r="F594" s="66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66"/>
      <c r="B595" s="66"/>
      <c r="C595" s="66"/>
      <c r="D595" s="66"/>
      <c r="E595" s="66"/>
      <c r="F595" s="66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66"/>
      <c r="B596" s="66"/>
      <c r="C596" s="66"/>
      <c r="D596" s="66"/>
      <c r="E596" s="66"/>
      <c r="F596" s="66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66"/>
      <c r="B597" s="66"/>
      <c r="C597" s="66"/>
      <c r="D597" s="66"/>
      <c r="E597" s="66"/>
      <c r="F597" s="66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66"/>
      <c r="B598" s="66"/>
      <c r="C598" s="66"/>
      <c r="D598" s="66"/>
      <c r="E598" s="66"/>
      <c r="F598" s="66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66"/>
      <c r="B599" s="66"/>
      <c r="C599" s="66"/>
      <c r="D599" s="66"/>
      <c r="E599" s="66"/>
      <c r="F599" s="66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66"/>
      <c r="B600" s="66"/>
      <c r="C600" s="66"/>
      <c r="D600" s="66"/>
      <c r="E600" s="66"/>
      <c r="F600" s="66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66"/>
      <c r="B601" s="66"/>
      <c r="C601" s="66"/>
      <c r="D601" s="66"/>
      <c r="E601" s="66"/>
      <c r="F601" s="66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66"/>
      <c r="B602" s="66"/>
      <c r="C602" s="66"/>
      <c r="D602" s="66"/>
      <c r="E602" s="66"/>
      <c r="F602" s="66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66"/>
      <c r="B603" s="66"/>
      <c r="C603" s="66"/>
      <c r="D603" s="66"/>
      <c r="E603" s="66"/>
      <c r="F603" s="66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66"/>
      <c r="B604" s="66"/>
      <c r="C604" s="66"/>
      <c r="D604" s="66"/>
      <c r="E604" s="66"/>
      <c r="F604" s="66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66"/>
      <c r="B605" s="66"/>
      <c r="C605" s="66"/>
      <c r="D605" s="66"/>
      <c r="E605" s="66"/>
      <c r="F605" s="66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66"/>
      <c r="B606" s="66"/>
      <c r="C606" s="66"/>
      <c r="D606" s="66"/>
      <c r="E606" s="66"/>
      <c r="F606" s="66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66"/>
      <c r="B607" s="66"/>
      <c r="C607" s="66"/>
      <c r="D607" s="66"/>
      <c r="E607" s="66"/>
      <c r="F607" s="66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66"/>
      <c r="B608" s="66"/>
      <c r="C608" s="66"/>
      <c r="D608" s="66"/>
      <c r="E608" s="66"/>
      <c r="F608" s="66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66"/>
      <c r="B609" s="66"/>
      <c r="C609" s="66"/>
      <c r="D609" s="66"/>
      <c r="E609" s="66"/>
      <c r="F609" s="66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66"/>
      <c r="B610" s="66"/>
      <c r="C610" s="66"/>
      <c r="D610" s="66"/>
      <c r="E610" s="66"/>
      <c r="F610" s="66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66"/>
      <c r="B611" s="66"/>
      <c r="C611" s="66"/>
      <c r="D611" s="66"/>
      <c r="E611" s="66"/>
      <c r="F611" s="66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66"/>
      <c r="B612" s="66"/>
      <c r="C612" s="66"/>
      <c r="D612" s="66"/>
      <c r="E612" s="66"/>
      <c r="F612" s="66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66"/>
      <c r="B613" s="66"/>
      <c r="C613" s="66"/>
      <c r="D613" s="66"/>
      <c r="E613" s="66"/>
      <c r="F613" s="66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66"/>
      <c r="B614" s="66"/>
      <c r="C614" s="66"/>
      <c r="D614" s="66"/>
      <c r="E614" s="66"/>
      <c r="F614" s="66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66"/>
      <c r="B615" s="66"/>
      <c r="C615" s="66"/>
      <c r="D615" s="66"/>
      <c r="E615" s="66"/>
      <c r="F615" s="66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66"/>
      <c r="B616" s="66"/>
      <c r="C616" s="66"/>
      <c r="D616" s="66"/>
      <c r="E616" s="66"/>
      <c r="F616" s="66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66"/>
      <c r="B617" s="66"/>
      <c r="C617" s="66"/>
      <c r="D617" s="66"/>
      <c r="E617" s="66"/>
      <c r="F617" s="66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66"/>
      <c r="B618" s="66"/>
      <c r="C618" s="66"/>
      <c r="D618" s="66"/>
      <c r="E618" s="66"/>
      <c r="F618" s="66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66"/>
      <c r="B619" s="66"/>
      <c r="C619" s="66"/>
      <c r="D619" s="66"/>
      <c r="E619" s="66"/>
      <c r="F619" s="66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66"/>
      <c r="B620" s="66"/>
      <c r="C620" s="66"/>
      <c r="D620" s="66"/>
      <c r="E620" s="66"/>
      <c r="F620" s="66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66"/>
      <c r="B621" s="66"/>
      <c r="C621" s="66"/>
      <c r="D621" s="66"/>
      <c r="E621" s="66"/>
      <c r="F621" s="66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66"/>
      <c r="B622" s="66"/>
      <c r="C622" s="66"/>
      <c r="D622" s="66"/>
      <c r="E622" s="66"/>
      <c r="F622" s="66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66"/>
      <c r="B623" s="66"/>
      <c r="C623" s="66"/>
      <c r="D623" s="66"/>
      <c r="E623" s="66"/>
      <c r="F623" s="66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66"/>
      <c r="B624" s="66"/>
      <c r="C624" s="66"/>
      <c r="D624" s="66"/>
      <c r="E624" s="66"/>
      <c r="F624" s="66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66"/>
      <c r="B625" s="66"/>
      <c r="C625" s="66"/>
      <c r="D625" s="66"/>
      <c r="E625" s="66"/>
      <c r="F625" s="66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66"/>
      <c r="B626" s="66"/>
      <c r="C626" s="66"/>
      <c r="D626" s="66"/>
      <c r="E626" s="66"/>
      <c r="F626" s="66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66"/>
      <c r="B627" s="66"/>
      <c r="C627" s="66"/>
      <c r="D627" s="66"/>
      <c r="E627" s="66"/>
      <c r="F627" s="66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66"/>
      <c r="B628" s="66"/>
      <c r="C628" s="66"/>
      <c r="D628" s="66"/>
      <c r="E628" s="66"/>
      <c r="F628" s="66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66"/>
      <c r="B629" s="66"/>
      <c r="C629" s="66"/>
      <c r="D629" s="66"/>
      <c r="E629" s="66"/>
      <c r="F629" s="66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66"/>
      <c r="B630" s="66"/>
      <c r="C630" s="66"/>
      <c r="D630" s="66"/>
      <c r="E630" s="66"/>
      <c r="F630" s="66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66"/>
      <c r="B631" s="66"/>
      <c r="C631" s="66"/>
      <c r="D631" s="66"/>
      <c r="E631" s="66"/>
      <c r="F631" s="66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66"/>
      <c r="B632" s="66"/>
      <c r="C632" s="66"/>
      <c r="D632" s="66"/>
      <c r="E632" s="66"/>
      <c r="F632" s="66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66"/>
      <c r="B633" s="66"/>
      <c r="C633" s="66"/>
      <c r="D633" s="66"/>
      <c r="E633" s="66"/>
      <c r="F633" s="66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66"/>
      <c r="B634" s="66"/>
      <c r="C634" s="66"/>
      <c r="D634" s="66"/>
      <c r="E634" s="66"/>
      <c r="F634" s="66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66"/>
      <c r="B635" s="66"/>
      <c r="C635" s="66"/>
      <c r="D635" s="66"/>
      <c r="E635" s="66"/>
      <c r="F635" s="66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66"/>
      <c r="B636" s="66"/>
      <c r="C636" s="66"/>
      <c r="D636" s="66"/>
      <c r="E636" s="66"/>
      <c r="F636" s="66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66"/>
      <c r="B637" s="66"/>
      <c r="C637" s="66"/>
      <c r="D637" s="66"/>
      <c r="E637" s="66"/>
      <c r="F637" s="66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66"/>
      <c r="B638" s="66"/>
      <c r="C638" s="66"/>
      <c r="D638" s="66"/>
      <c r="E638" s="66"/>
      <c r="F638" s="66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66"/>
      <c r="B639" s="66"/>
      <c r="C639" s="66"/>
      <c r="D639" s="66"/>
      <c r="E639" s="66"/>
      <c r="F639" s="66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66"/>
      <c r="B640" s="66"/>
      <c r="C640" s="66"/>
      <c r="D640" s="66"/>
      <c r="E640" s="66"/>
      <c r="F640" s="66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66"/>
      <c r="B641" s="66"/>
      <c r="C641" s="66"/>
      <c r="D641" s="66"/>
      <c r="E641" s="66"/>
      <c r="F641" s="66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66"/>
      <c r="B642" s="66"/>
      <c r="C642" s="66"/>
      <c r="D642" s="66"/>
      <c r="E642" s="66"/>
      <c r="F642" s="66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66"/>
      <c r="B643" s="66"/>
      <c r="C643" s="66"/>
      <c r="D643" s="66"/>
      <c r="E643" s="66"/>
      <c r="F643" s="66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66"/>
      <c r="B644" s="66"/>
      <c r="C644" s="66"/>
      <c r="D644" s="66"/>
      <c r="E644" s="66"/>
      <c r="F644" s="66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66"/>
      <c r="B645" s="66"/>
      <c r="C645" s="66"/>
      <c r="D645" s="66"/>
      <c r="E645" s="66"/>
      <c r="F645" s="66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66"/>
      <c r="B646" s="66"/>
      <c r="C646" s="66"/>
      <c r="D646" s="66"/>
      <c r="E646" s="66"/>
      <c r="F646" s="66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66"/>
      <c r="B647" s="66"/>
      <c r="C647" s="66"/>
      <c r="D647" s="66"/>
      <c r="E647" s="66"/>
      <c r="F647" s="66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66"/>
      <c r="B648" s="66"/>
      <c r="C648" s="66"/>
      <c r="D648" s="66"/>
      <c r="E648" s="66"/>
      <c r="F648" s="66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66"/>
      <c r="B649" s="66"/>
      <c r="C649" s="66"/>
      <c r="D649" s="66"/>
      <c r="E649" s="66"/>
      <c r="F649" s="66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66"/>
      <c r="B650" s="66"/>
      <c r="C650" s="66"/>
      <c r="D650" s="66"/>
      <c r="E650" s="66"/>
      <c r="F650" s="66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66"/>
      <c r="B651" s="66"/>
      <c r="C651" s="66"/>
      <c r="D651" s="66"/>
      <c r="E651" s="66"/>
      <c r="F651" s="66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66"/>
      <c r="B652" s="66"/>
      <c r="C652" s="66"/>
      <c r="D652" s="66"/>
      <c r="E652" s="66"/>
      <c r="F652" s="66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66"/>
      <c r="B653" s="66"/>
      <c r="C653" s="66"/>
      <c r="D653" s="66"/>
      <c r="E653" s="66"/>
      <c r="F653" s="66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66"/>
      <c r="B654" s="66"/>
      <c r="C654" s="66"/>
      <c r="D654" s="66"/>
      <c r="E654" s="66"/>
      <c r="F654" s="66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66"/>
      <c r="B655" s="66"/>
      <c r="C655" s="66"/>
      <c r="D655" s="66"/>
      <c r="E655" s="66"/>
      <c r="F655" s="66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66"/>
      <c r="B656" s="66"/>
      <c r="C656" s="66"/>
      <c r="D656" s="66"/>
      <c r="E656" s="66"/>
      <c r="F656" s="66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66"/>
      <c r="B657" s="66"/>
      <c r="C657" s="66"/>
      <c r="D657" s="66"/>
      <c r="E657" s="66"/>
      <c r="F657" s="66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66"/>
      <c r="B658" s="66"/>
      <c r="C658" s="66"/>
      <c r="D658" s="66"/>
      <c r="E658" s="66"/>
      <c r="F658" s="66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66"/>
      <c r="B659" s="66"/>
      <c r="C659" s="66"/>
      <c r="D659" s="66"/>
      <c r="E659" s="66"/>
      <c r="F659" s="66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66"/>
      <c r="B660" s="66"/>
      <c r="C660" s="66"/>
      <c r="D660" s="66"/>
      <c r="E660" s="66"/>
      <c r="F660" s="66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66"/>
      <c r="B661" s="66"/>
      <c r="C661" s="66"/>
      <c r="D661" s="66"/>
      <c r="E661" s="66"/>
      <c r="F661" s="66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66"/>
      <c r="B662" s="66"/>
      <c r="C662" s="66"/>
      <c r="D662" s="66"/>
      <c r="E662" s="66"/>
      <c r="F662" s="66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66"/>
      <c r="B663" s="66"/>
      <c r="C663" s="66"/>
      <c r="D663" s="66"/>
      <c r="E663" s="66"/>
      <c r="F663" s="66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66"/>
      <c r="B664" s="66"/>
      <c r="C664" s="66"/>
      <c r="D664" s="66"/>
      <c r="E664" s="66"/>
      <c r="F664" s="66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66"/>
      <c r="B665" s="66"/>
      <c r="C665" s="66"/>
      <c r="D665" s="66"/>
      <c r="E665" s="66"/>
      <c r="F665" s="66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66"/>
      <c r="B666" s="66"/>
      <c r="C666" s="66"/>
      <c r="D666" s="66"/>
      <c r="E666" s="66"/>
      <c r="F666" s="66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66"/>
      <c r="B667" s="66"/>
      <c r="C667" s="66"/>
      <c r="D667" s="66"/>
      <c r="E667" s="66"/>
      <c r="F667" s="66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66"/>
      <c r="B668" s="66"/>
      <c r="C668" s="66"/>
      <c r="D668" s="66"/>
      <c r="E668" s="66"/>
      <c r="F668" s="66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66"/>
      <c r="B669" s="66"/>
      <c r="C669" s="66"/>
      <c r="D669" s="66"/>
      <c r="E669" s="66"/>
      <c r="F669" s="66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66"/>
      <c r="B670" s="66"/>
      <c r="C670" s="66"/>
      <c r="D670" s="66"/>
      <c r="E670" s="66"/>
      <c r="F670" s="66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66"/>
      <c r="B671" s="66"/>
      <c r="C671" s="66"/>
      <c r="D671" s="66"/>
      <c r="E671" s="66"/>
      <c r="F671" s="66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66"/>
      <c r="B672" s="66"/>
      <c r="C672" s="66"/>
      <c r="D672" s="66"/>
      <c r="E672" s="66"/>
      <c r="F672" s="66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66"/>
      <c r="B673" s="66"/>
      <c r="C673" s="66"/>
      <c r="D673" s="66"/>
      <c r="E673" s="66"/>
      <c r="F673" s="66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66"/>
      <c r="B674" s="66"/>
      <c r="C674" s="66"/>
      <c r="D674" s="66"/>
      <c r="E674" s="66"/>
      <c r="F674" s="66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66"/>
      <c r="B675" s="66"/>
      <c r="C675" s="66"/>
      <c r="D675" s="66"/>
      <c r="E675" s="66"/>
      <c r="F675" s="66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66"/>
      <c r="B676" s="66"/>
      <c r="C676" s="66"/>
      <c r="D676" s="66"/>
      <c r="E676" s="66"/>
      <c r="F676" s="66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66"/>
      <c r="B677" s="66"/>
      <c r="C677" s="66"/>
      <c r="D677" s="66"/>
      <c r="E677" s="66"/>
      <c r="F677" s="66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66"/>
      <c r="B678" s="66"/>
      <c r="C678" s="66"/>
      <c r="D678" s="66"/>
      <c r="E678" s="66"/>
      <c r="F678" s="66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66"/>
      <c r="B679" s="66"/>
      <c r="C679" s="66"/>
      <c r="D679" s="66"/>
      <c r="E679" s="66"/>
      <c r="F679" s="66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66"/>
      <c r="B680" s="66"/>
      <c r="C680" s="66"/>
      <c r="D680" s="66"/>
      <c r="E680" s="66"/>
      <c r="F680" s="66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66"/>
      <c r="B681" s="66"/>
      <c r="C681" s="66"/>
      <c r="D681" s="66"/>
      <c r="E681" s="66"/>
      <c r="F681" s="66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66"/>
      <c r="B682" s="66"/>
      <c r="C682" s="66"/>
      <c r="D682" s="66"/>
      <c r="E682" s="66"/>
      <c r="F682" s="66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66"/>
      <c r="B683" s="66"/>
      <c r="C683" s="66"/>
      <c r="D683" s="66"/>
      <c r="E683" s="66"/>
      <c r="F683" s="66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66"/>
      <c r="B684" s="66"/>
      <c r="C684" s="66"/>
      <c r="D684" s="66"/>
      <c r="E684" s="66"/>
      <c r="F684" s="66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66"/>
      <c r="B685" s="66"/>
      <c r="C685" s="66"/>
      <c r="D685" s="66"/>
      <c r="E685" s="66"/>
      <c r="F685" s="66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66"/>
      <c r="B686" s="66"/>
      <c r="C686" s="66"/>
      <c r="D686" s="66"/>
      <c r="E686" s="66"/>
      <c r="F686" s="66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66"/>
      <c r="B687" s="66"/>
      <c r="C687" s="66"/>
      <c r="D687" s="66"/>
      <c r="E687" s="66"/>
      <c r="F687" s="66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66"/>
      <c r="B688" s="66"/>
      <c r="C688" s="66"/>
      <c r="D688" s="66"/>
      <c r="E688" s="66"/>
      <c r="F688" s="66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66"/>
      <c r="B689" s="66"/>
      <c r="C689" s="66"/>
      <c r="D689" s="66"/>
      <c r="E689" s="66"/>
      <c r="F689" s="66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66"/>
      <c r="B690" s="66"/>
      <c r="C690" s="66"/>
      <c r="D690" s="66"/>
      <c r="E690" s="66"/>
      <c r="F690" s="66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66"/>
      <c r="B691" s="66"/>
      <c r="C691" s="66"/>
      <c r="D691" s="66"/>
      <c r="E691" s="66"/>
      <c r="F691" s="66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66"/>
      <c r="B692" s="66"/>
      <c r="C692" s="66"/>
      <c r="D692" s="66"/>
      <c r="E692" s="66"/>
      <c r="F692" s="66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66"/>
      <c r="B693" s="66"/>
      <c r="C693" s="66"/>
      <c r="D693" s="66"/>
      <c r="E693" s="66"/>
      <c r="F693" s="66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66"/>
      <c r="B694" s="66"/>
      <c r="C694" s="66"/>
      <c r="D694" s="66"/>
      <c r="E694" s="66"/>
      <c r="F694" s="66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66"/>
      <c r="B695" s="66"/>
      <c r="C695" s="66"/>
      <c r="D695" s="66"/>
      <c r="E695" s="66"/>
      <c r="F695" s="66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66"/>
      <c r="B696" s="66"/>
      <c r="C696" s="66"/>
      <c r="D696" s="66"/>
      <c r="E696" s="66"/>
      <c r="F696" s="66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66"/>
      <c r="B697" s="66"/>
      <c r="C697" s="66"/>
      <c r="D697" s="66"/>
      <c r="E697" s="66"/>
      <c r="F697" s="66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66"/>
      <c r="B698" s="66"/>
      <c r="C698" s="66"/>
      <c r="D698" s="66"/>
      <c r="E698" s="66"/>
      <c r="F698" s="66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66"/>
      <c r="B699" s="66"/>
      <c r="C699" s="66"/>
      <c r="D699" s="66"/>
      <c r="E699" s="66"/>
      <c r="F699" s="66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66"/>
      <c r="B700" s="66"/>
      <c r="C700" s="66"/>
      <c r="D700" s="66"/>
      <c r="E700" s="66"/>
      <c r="F700" s="66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66"/>
      <c r="B701" s="66"/>
      <c r="C701" s="66"/>
      <c r="D701" s="66"/>
      <c r="E701" s="66"/>
      <c r="F701" s="66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66"/>
      <c r="B702" s="66"/>
      <c r="C702" s="66"/>
      <c r="D702" s="66"/>
      <c r="E702" s="66"/>
      <c r="F702" s="66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66"/>
      <c r="B703" s="66"/>
      <c r="C703" s="66"/>
      <c r="D703" s="66"/>
      <c r="E703" s="66"/>
      <c r="F703" s="66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66"/>
      <c r="B704" s="66"/>
      <c r="C704" s="66"/>
      <c r="D704" s="66"/>
      <c r="E704" s="66"/>
      <c r="F704" s="66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66"/>
      <c r="B705" s="66"/>
      <c r="C705" s="66"/>
      <c r="D705" s="66"/>
      <c r="E705" s="66"/>
      <c r="F705" s="66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66"/>
      <c r="B706" s="66"/>
      <c r="C706" s="66"/>
      <c r="D706" s="66"/>
      <c r="E706" s="66"/>
      <c r="F706" s="66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66"/>
      <c r="B707" s="66"/>
      <c r="C707" s="66"/>
      <c r="D707" s="66"/>
      <c r="E707" s="66"/>
      <c r="F707" s="66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66"/>
      <c r="B708" s="66"/>
      <c r="C708" s="66"/>
      <c r="D708" s="66"/>
      <c r="E708" s="66"/>
      <c r="F708" s="66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66"/>
      <c r="B709" s="66"/>
      <c r="C709" s="66"/>
      <c r="D709" s="66"/>
      <c r="E709" s="66"/>
      <c r="F709" s="66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66"/>
      <c r="B710" s="66"/>
      <c r="C710" s="66"/>
      <c r="D710" s="66"/>
      <c r="E710" s="66"/>
      <c r="F710" s="66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66"/>
      <c r="B711" s="66"/>
      <c r="C711" s="66"/>
      <c r="D711" s="66"/>
      <c r="E711" s="66"/>
      <c r="F711" s="66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66"/>
      <c r="B712" s="66"/>
      <c r="C712" s="66"/>
      <c r="D712" s="66"/>
      <c r="E712" s="66"/>
      <c r="F712" s="66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66"/>
      <c r="B713" s="66"/>
      <c r="C713" s="66"/>
      <c r="D713" s="66"/>
      <c r="E713" s="66"/>
      <c r="F713" s="66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66"/>
      <c r="B714" s="66"/>
      <c r="C714" s="66"/>
      <c r="D714" s="66"/>
      <c r="E714" s="66"/>
      <c r="F714" s="66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66"/>
      <c r="B715" s="66"/>
      <c r="C715" s="66"/>
      <c r="D715" s="66"/>
      <c r="E715" s="66"/>
      <c r="F715" s="66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66"/>
      <c r="B716" s="66"/>
      <c r="C716" s="66"/>
      <c r="D716" s="66"/>
      <c r="E716" s="66"/>
      <c r="F716" s="66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66"/>
      <c r="B717" s="66"/>
      <c r="C717" s="66"/>
      <c r="D717" s="66"/>
      <c r="E717" s="66"/>
      <c r="F717" s="66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66"/>
      <c r="B718" s="66"/>
      <c r="C718" s="66"/>
      <c r="D718" s="66"/>
      <c r="E718" s="66"/>
      <c r="F718" s="66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66"/>
      <c r="B719" s="66"/>
      <c r="C719" s="66"/>
      <c r="D719" s="66"/>
      <c r="E719" s="66"/>
      <c r="F719" s="66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66"/>
      <c r="B720" s="66"/>
      <c r="C720" s="66"/>
      <c r="D720" s="66"/>
      <c r="E720" s="66"/>
      <c r="F720" s="66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66"/>
      <c r="B721" s="66"/>
      <c r="C721" s="66"/>
      <c r="D721" s="66"/>
      <c r="E721" s="66"/>
      <c r="F721" s="66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66"/>
      <c r="B722" s="66"/>
      <c r="C722" s="66"/>
      <c r="D722" s="66"/>
      <c r="E722" s="66"/>
      <c r="F722" s="66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66"/>
      <c r="B723" s="66"/>
      <c r="C723" s="66"/>
      <c r="D723" s="66"/>
      <c r="E723" s="66"/>
      <c r="F723" s="66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66"/>
      <c r="B724" s="66"/>
      <c r="C724" s="66"/>
      <c r="D724" s="66"/>
      <c r="E724" s="66"/>
      <c r="F724" s="66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66"/>
      <c r="B725" s="66"/>
      <c r="C725" s="66"/>
      <c r="D725" s="66"/>
      <c r="E725" s="66"/>
      <c r="F725" s="66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66"/>
      <c r="B726" s="66"/>
      <c r="C726" s="66"/>
      <c r="D726" s="66"/>
      <c r="E726" s="66"/>
      <c r="F726" s="66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66"/>
      <c r="B727" s="66"/>
      <c r="C727" s="66"/>
      <c r="D727" s="66"/>
      <c r="E727" s="66"/>
      <c r="F727" s="66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66"/>
      <c r="B728" s="66"/>
      <c r="C728" s="66"/>
      <c r="D728" s="66"/>
      <c r="E728" s="66"/>
      <c r="F728" s="66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66"/>
      <c r="B729" s="66"/>
      <c r="C729" s="66"/>
      <c r="D729" s="66"/>
      <c r="E729" s="66"/>
      <c r="F729" s="66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66"/>
      <c r="B730" s="66"/>
      <c r="C730" s="66"/>
      <c r="D730" s="66"/>
      <c r="E730" s="66"/>
      <c r="F730" s="66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66"/>
      <c r="B731" s="66"/>
      <c r="C731" s="66"/>
      <c r="D731" s="66"/>
      <c r="E731" s="66"/>
      <c r="F731" s="66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66"/>
      <c r="B732" s="66"/>
      <c r="C732" s="66"/>
      <c r="D732" s="66"/>
      <c r="E732" s="66"/>
      <c r="F732" s="66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66"/>
      <c r="B733" s="66"/>
      <c r="C733" s="66"/>
      <c r="D733" s="66"/>
      <c r="E733" s="66"/>
      <c r="F733" s="66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66"/>
      <c r="B734" s="66"/>
      <c r="C734" s="66"/>
      <c r="D734" s="66"/>
      <c r="E734" s="66"/>
      <c r="F734" s="66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66"/>
      <c r="B735" s="66"/>
      <c r="C735" s="66"/>
      <c r="D735" s="66"/>
      <c r="E735" s="66"/>
      <c r="F735" s="66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66"/>
      <c r="B736" s="66"/>
      <c r="C736" s="66"/>
      <c r="D736" s="66"/>
      <c r="E736" s="66"/>
      <c r="F736" s="66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66"/>
      <c r="B737" s="66"/>
      <c r="C737" s="66"/>
      <c r="D737" s="66"/>
      <c r="E737" s="66"/>
      <c r="F737" s="66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66"/>
      <c r="B738" s="66"/>
      <c r="C738" s="66"/>
      <c r="D738" s="66"/>
      <c r="E738" s="66"/>
      <c r="F738" s="66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66"/>
      <c r="B739" s="66"/>
      <c r="C739" s="66"/>
      <c r="D739" s="66"/>
      <c r="E739" s="66"/>
      <c r="F739" s="66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66"/>
      <c r="B740" s="66"/>
      <c r="C740" s="66"/>
      <c r="D740" s="66"/>
      <c r="E740" s="66"/>
      <c r="F740" s="66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66"/>
      <c r="B741" s="66"/>
      <c r="C741" s="66"/>
      <c r="D741" s="66"/>
      <c r="E741" s="66"/>
      <c r="F741" s="66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66"/>
      <c r="B742" s="66"/>
      <c r="C742" s="66"/>
      <c r="D742" s="66"/>
      <c r="E742" s="66"/>
      <c r="F742" s="66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66"/>
      <c r="B743" s="66"/>
      <c r="C743" s="66"/>
      <c r="D743" s="66"/>
      <c r="E743" s="66"/>
      <c r="F743" s="66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66"/>
      <c r="B744" s="66"/>
      <c r="C744" s="66"/>
      <c r="D744" s="66"/>
      <c r="E744" s="66"/>
      <c r="F744" s="66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66"/>
      <c r="B745" s="66"/>
      <c r="C745" s="66"/>
      <c r="D745" s="66"/>
      <c r="E745" s="66"/>
      <c r="F745" s="66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66"/>
      <c r="B746" s="66"/>
      <c r="C746" s="66"/>
      <c r="D746" s="66"/>
      <c r="E746" s="66"/>
      <c r="F746" s="66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66"/>
      <c r="B747" s="66"/>
      <c r="C747" s="66"/>
      <c r="D747" s="66"/>
      <c r="E747" s="66"/>
      <c r="F747" s="66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66"/>
      <c r="B748" s="66"/>
      <c r="C748" s="66"/>
      <c r="D748" s="66"/>
      <c r="E748" s="66"/>
      <c r="F748" s="66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66"/>
      <c r="B749" s="66"/>
      <c r="C749" s="66"/>
      <c r="D749" s="66"/>
      <c r="E749" s="66"/>
      <c r="F749" s="66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66"/>
      <c r="B750" s="66"/>
      <c r="C750" s="66"/>
      <c r="D750" s="66"/>
      <c r="E750" s="66"/>
      <c r="F750" s="66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66"/>
      <c r="B751" s="66"/>
      <c r="C751" s="66"/>
      <c r="D751" s="66"/>
      <c r="E751" s="66"/>
      <c r="F751" s="66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66"/>
      <c r="B752" s="66"/>
      <c r="C752" s="66"/>
      <c r="D752" s="66"/>
      <c r="E752" s="66"/>
      <c r="F752" s="66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66"/>
      <c r="B753" s="66"/>
      <c r="C753" s="66"/>
      <c r="D753" s="66"/>
      <c r="E753" s="66"/>
      <c r="F753" s="66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66"/>
      <c r="B754" s="66"/>
      <c r="C754" s="66"/>
      <c r="D754" s="66"/>
      <c r="E754" s="66"/>
      <c r="F754" s="66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66"/>
      <c r="B755" s="66"/>
      <c r="C755" s="66"/>
      <c r="D755" s="66"/>
      <c r="E755" s="66"/>
      <c r="F755" s="66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66"/>
      <c r="B756" s="66"/>
      <c r="C756" s="66"/>
      <c r="D756" s="66"/>
      <c r="E756" s="66"/>
      <c r="F756" s="66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66"/>
      <c r="B757" s="66"/>
      <c r="C757" s="66"/>
      <c r="D757" s="66"/>
      <c r="E757" s="66"/>
      <c r="F757" s="66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66"/>
      <c r="B758" s="66"/>
      <c r="C758" s="66"/>
      <c r="D758" s="66"/>
      <c r="E758" s="66"/>
      <c r="F758" s="66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66"/>
      <c r="B759" s="66"/>
      <c r="C759" s="66"/>
      <c r="D759" s="66"/>
      <c r="E759" s="66"/>
      <c r="F759" s="66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66"/>
      <c r="B760" s="66"/>
      <c r="C760" s="66"/>
      <c r="D760" s="66"/>
      <c r="E760" s="66"/>
      <c r="F760" s="66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66"/>
      <c r="B761" s="66"/>
      <c r="C761" s="66"/>
      <c r="D761" s="66"/>
      <c r="E761" s="66"/>
      <c r="F761" s="66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66"/>
      <c r="B762" s="66"/>
      <c r="C762" s="66"/>
      <c r="D762" s="66"/>
      <c r="E762" s="66"/>
      <c r="F762" s="66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66"/>
      <c r="B763" s="66"/>
      <c r="C763" s="66"/>
      <c r="D763" s="66"/>
      <c r="E763" s="66"/>
      <c r="F763" s="66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66"/>
      <c r="B764" s="66"/>
      <c r="C764" s="66"/>
      <c r="D764" s="66"/>
      <c r="E764" s="66"/>
      <c r="F764" s="66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66"/>
      <c r="B765" s="66"/>
      <c r="C765" s="66"/>
      <c r="D765" s="66"/>
      <c r="E765" s="66"/>
      <c r="F765" s="66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66"/>
      <c r="B766" s="66"/>
      <c r="C766" s="66"/>
      <c r="D766" s="66"/>
      <c r="E766" s="66"/>
      <c r="F766" s="66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66"/>
      <c r="B767" s="66"/>
      <c r="C767" s="66"/>
      <c r="D767" s="66"/>
      <c r="E767" s="66"/>
      <c r="F767" s="66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66"/>
      <c r="B768" s="66"/>
      <c r="C768" s="66"/>
      <c r="D768" s="66"/>
      <c r="E768" s="66"/>
      <c r="F768" s="66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66"/>
      <c r="B769" s="66"/>
      <c r="C769" s="66"/>
      <c r="D769" s="66"/>
      <c r="E769" s="66"/>
      <c r="F769" s="66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66"/>
      <c r="B770" s="66"/>
      <c r="C770" s="66"/>
      <c r="D770" s="66"/>
      <c r="E770" s="66"/>
      <c r="F770" s="66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66"/>
      <c r="B771" s="66"/>
      <c r="C771" s="66"/>
      <c r="D771" s="66"/>
      <c r="E771" s="66"/>
      <c r="F771" s="66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66"/>
      <c r="B772" s="66"/>
      <c r="C772" s="66"/>
      <c r="D772" s="66"/>
      <c r="E772" s="66"/>
      <c r="F772" s="66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66"/>
      <c r="B773" s="66"/>
      <c r="C773" s="66"/>
      <c r="D773" s="66"/>
      <c r="E773" s="66"/>
      <c r="F773" s="66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66"/>
      <c r="B774" s="66"/>
      <c r="C774" s="66"/>
      <c r="D774" s="66"/>
      <c r="E774" s="66"/>
      <c r="F774" s="66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66"/>
      <c r="B775" s="66"/>
      <c r="C775" s="66"/>
      <c r="D775" s="66"/>
      <c r="E775" s="66"/>
      <c r="F775" s="66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66"/>
      <c r="B776" s="66"/>
      <c r="C776" s="66"/>
      <c r="D776" s="66"/>
      <c r="E776" s="66"/>
      <c r="F776" s="66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66"/>
      <c r="B777" s="66"/>
      <c r="C777" s="66"/>
      <c r="D777" s="66"/>
      <c r="E777" s="66"/>
      <c r="F777" s="66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66"/>
      <c r="B778" s="66"/>
      <c r="C778" s="66"/>
      <c r="D778" s="66"/>
      <c r="E778" s="66"/>
      <c r="F778" s="66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66"/>
      <c r="B779" s="66"/>
      <c r="C779" s="66"/>
      <c r="D779" s="66"/>
      <c r="E779" s="66"/>
      <c r="F779" s="66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66"/>
      <c r="B780" s="66"/>
      <c r="C780" s="66"/>
      <c r="D780" s="66"/>
      <c r="E780" s="66"/>
      <c r="F780" s="66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66"/>
      <c r="B781" s="66"/>
      <c r="C781" s="66"/>
      <c r="D781" s="66"/>
      <c r="E781" s="66"/>
      <c r="F781" s="66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66"/>
      <c r="B782" s="66"/>
      <c r="C782" s="66"/>
      <c r="D782" s="66"/>
      <c r="E782" s="66"/>
      <c r="F782" s="66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66"/>
      <c r="B783" s="66"/>
      <c r="C783" s="66"/>
      <c r="D783" s="66"/>
      <c r="E783" s="66"/>
      <c r="F783" s="66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66"/>
      <c r="B784" s="66"/>
      <c r="C784" s="66"/>
      <c r="D784" s="66"/>
      <c r="E784" s="66"/>
      <c r="F784" s="66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66"/>
      <c r="B785" s="66"/>
      <c r="C785" s="66"/>
      <c r="D785" s="66"/>
      <c r="E785" s="66"/>
      <c r="F785" s="66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66"/>
      <c r="B786" s="66"/>
      <c r="C786" s="66"/>
      <c r="D786" s="66"/>
      <c r="E786" s="66"/>
      <c r="F786" s="66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66"/>
      <c r="B787" s="66"/>
      <c r="C787" s="66"/>
      <c r="D787" s="66"/>
      <c r="E787" s="66"/>
      <c r="F787" s="66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66"/>
      <c r="B788" s="66"/>
      <c r="C788" s="66"/>
      <c r="D788" s="66"/>
      <c r="E788" s="66"/>
      <c r="F788" s="66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66"/>
      <c r="B789" s="66"/>
      <c r="C789" s="66"/>
      <c r="D789" s="66"/>
      <c r="E789" s="66"/>
      <c r="F789" s="66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66"/>
      <c r="B790" s="66"/>
      <c r="C790" s="66"/>
      <c r="D790" s="66"/>
      <c r="E790" s="66"/>
      <c r="F790" s="66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66"/>
      <c r="B791" s="66"/>
      <c r="C791" s="66"/>
      <c r="D791" s="66"/>
      <c r="E791" s="66"/>
      <c r="F791" s="66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66"/>
      <c r="B792" s="66"/>
      <c r="C792" s="66"/>
      <c r="D792" s="66"/>
      <c r="E792" s="66"/>
      <c r="F792" s="66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66"/>
      <c r="B793" s="66"/>
      <c r="C793" s="66"/>
      <c r="D793" s="66"/>
      <c r="E793" s="66"/>
      <c r="F793" s="66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66"/>
      <c r="B794" s="66"/>
      <c r="C794" s="66"/>
      <c r="D794" s="66"/>
      <c r="E794" s="66"/>
      <c r="F794" s="66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66"/>
      <c r="B795" s="66"/>
      <c r="C795" s="66"/>
      <c r="D795" s="66"/>
      <c r="E795" s="66"/>
      <c r="F795" s="66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66"/>
      <c r="B796" s="66"/>
      <c r="C796" s="66"/>
      <c r="D796" s="66"/>
      <c r="E796" s="66"/>
      <c r="F796" s="66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66"/>
      <c r="B797" s="66"/>
      <c r="C797" s="66"/>
      <c r="D797" s="66"/>
      <c r="E797" s="66"/>
      <c r="F797" s="66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66"/>
      <c r="B798" s="66"/>
      <c r="C798" s="66"/>
      <c r="D798" s="66"/>
      <c r="E798" s="66"/>
      <c r="F798" s="66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66"/>
      <c r="B799" s="66"/>
      <c r="C799" s="66"/>
      <c r="D799" s="66"/>
      <c r="E799" s="66"/>
      <c r="F799" s="66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66"/>
      <c r="B800" s="66"/>
      <c r="C800" s="66"/>
      <c r="D800" s="66"/>
      <c r="E800" s="66"/>
      <c r="F800" s="66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66"/>
      <c r="B801" s="66"/>
      <c r="C801" s="66"/>
      <c r="D801" s="66"/>
      <c r="E801" s="66"/>
      <c r="F801" s="66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66"/>
      <c r="B802" s="66"/>
      <c r="C802" s="66"/>
      <c r="D802" s="66"/>
      <c r="E802" s="66"/>
      <c r="F802" s="66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66"/>
      <c r="B803" s="66"/>
      <c r="C803" s="66"/>
      <c r="D803" s="66"/>
      <c r="E803" s="66"/>
      <c r="F803" s="66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66"/>
      <c r="B804" s="66"/>
      <c r="C804" s="66"/>
      <c r="D804" s="66"/>
      <c r="E804" s="66"/>
      <c r="F804" s="66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66"/>
      <c r="B805" s="66"/>
      <c r="C805" s="66"/>
      <c r="D805" s="66"/>
      <c r="E805" s="66"/>
      <c r="F805" s="66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66"/>
      <c r="B806" s="66"/>
      <c r="C806" s="66"/>
      <c r="D806" s="66"/>
      <c r="E806" s="66"/>
      <c r="F806" s="66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66"/>
      <c r="B807" s="66"/>
      <c r="C807" s="66"/>
      <c r="D807" s="66"/>
      <c r="E807" s="66"/>
      <c r="F807" s="66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66"/>
      <c r="B808" s="66"/>
      <c r="C808" s="66"/>
      <c r="D808" s="66"/>
      <c r="E808" s="66"/>
      <c r="F808" s="66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66"/>
      <c r="B809" s="66"/>
      <c r="C809" s="66"/>
      <c r="D809" s="66"/>
      <c r="E809" s="66"/>
      <c r="F809" s="66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66"/>
      <c r="B810" s="66"/>
      <c r="C810" s="66"/>
      <c r="D810" s="66"/>
      <c r="E810" s="66"/>
      <c r="F810" s="66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66"/>
      <c r="B811" s="66"/>
      <c r="C811" s="66"/>
      <c r="D811" s="66"/>
      <c r="E811" s="66"/>
      <c r="F811" s="66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66"/>
      <c r="B812" s="66"/>
      <c r="C812" s="66"/>
      <c r="D812" s="66"/>
      <c r="E812" s="66"/>
      <c r="F812" s="66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66"/>
      <c r="B813" s="66"/>
      <c r="C813" s="66"/>
      <c r="D813" s="66"/>
      <c r="E813" s="66"/>
      <c r="F813" s="66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66"/>
      <c r="B814" s="66"/>
      <c r="C814" s="66"/>
      <c r="D814" s="66"/>
      <c r="E814" s="66"/>
      <c r="F814" s="66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66"/>
      <c r="B815" s="66"/>
      <c r="C815" s="66"/>
      <c r="D815" s="66"/>
      <c r="E815" s="66"/>
      <c r="F815" s="66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66"/>
      <c r="B816" s="66"/>
      <c r="C816" s="66"/>
      <c r="D816" s="66"/>
      <c r="E816" s="66"/>
      <c r="F816" s="66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66"/>
      <c r="B817" s="66"/>
      <c r="C817" s="66"/>
      <c r="D817" s="66"/>
      <c r="E817" s="66"/>
      <c r="F817" s="66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66"/>
      <c r="B818" s="66"/>
      <c r="C818" s="66"/>
      <c r="D818" s="66"/>
      <c r="E818" s="66"/>
      <c r="F818" s="66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66"/>
      <c r="B819" s="66"/>
      <c r="C819" s="66"/>
      <c r="D819" s="66"/>
      <c r="E819" s="66"/>
      <c r="F819" s="66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66"/>
      <c r="B820" s="66"/>
      <c r="C820" s="66"/>
      <c r="D820" s="66"/>
      <c r="E820" s="66"/>
      <c r="F820" s="66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66"/>
      <c r="B821" s="66"/>
      <c r="C821" s="66"/>
      <c r="D821" s="66"/>
      <c r="E821" s="66"/>
      <c r="F821" s="66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66"/>
      <c r="B822" s="66"/>
      <c r="C822" s="66"/>
      <c r="D822" s="66"/>
      <c r="E822" s="66"/>
      <c r="F822" s="66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66"/>
      <c r="B823" s="66"/>
      <c r="C823" s="66"/>
      <c r="D823" s="66"/>
      <c r="E823" s="66"/>
      <c r="F823" s="66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66"/>
      <c r="B824" s="66"/>
      <c r="C824" s="66"/>
      <c r="D824" s="66"/>
      <c r="E824" s="66"/>
      <c r="F824" s="66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66"/>
      <c r="B825" s="66"/>
      <c r="C825" s="66"/>
      <c r="D825" s="66"/>
      <c r="E825" s="66"/>
      <c r="F825" s="66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66"/>
      <c r="B826" s="66"/>
      <c r="C826" s="66"/>
      <c r="D826" s="66"/>
      <c r="E826" s="66"/>
      <c r="F826" s="66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66"/>
      <c r="B827" s="66"/>
      <c r="C827" s="66"/>
      <c r="D827" s="66"/>
      <c r="E827" s="66"/>
      <c r="F827" s="66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66"/>
      <c r="B828" s="66"/>
      <c r="C828" s="66"/>
      <c r="D828" s="66"/>
      <c r="E828" s="66"/>
      <c r="F828" s="66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66"/>
      <c r="B829" s="66"/>
      <c r="C829" s="66"/>
      <c r="D829" s="66"/>
      <c r="E829" s="66"/>
      <c r="F829" s="66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66"/>
      <c r="B830" s="66"/>
      <c r="C830" s="66"/>
      <c r="D830" s="66"/>
      <c r="E830" s="66"/>
      <c r="F830" s="66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66"/>
      <c r="B831" s="66"/>
      <c r="C831" s="66"/>
      <c r="D831" s="66"/>
      <c r="E831" s="66"/>
      <c r="F831" s="66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66"/>
      <c r="B832" s="66"/>
      <c r="C832" s="66"/>
      <c r="D832" s="66"/>
      <c r="E832" s="66"/>
      <c r="F832" s="66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66"/>
      <c r="B833" s="66"/>
      <c r="C833" s="66"/>
      <c r="D833" s="66"/>
      <c r="E833" s="66"/>
      <c r="F833" s="66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66"/>
      <c r="B834" s="66"/>
      <c r="C834" s="66"/>
      <c r="D834" s="66"/>
      <c r="E834" s="66"/>
      <c r="F834" s="66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66"/>
      <c r="B835" s="66"/>
      <c r="C835" s="66"/>
      <c r="D835" s="66"/>
      <c r="E835" s="66"/>
      <c r="F835" s="66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66"/>
      <c r="B836" s="66"/>
      <c r="C836" s="66"/>
      <c r="D836" s="66"/>
      <c r="E836" s="66"/>
      <c r="F836" s="66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66"/>
      <c r="B837" s="66"/>
      <c r="C837" s="66"/>
      <c r="D837" s="66"/>
      <c r="E837" s="66"/>
      <c r="F837" s="66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66"/>
      <c r="B838" s="66"/>
      <c r="C838" s="66"/>
      <c r="D838" s="66"/>
      <c r="E838" s="66"/>
      <c r="F838" s="66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66"/>
      <c r="B839" s="66"/>
      <c r="C839" s="66"/>
      <c r="D839" s="66"/>
      <c r="E839" s="66"/>
      <c r="F839" s="66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66"/>
      <c r="B840" s="66"/>
      <c r="C840" s="66"/>
      <c r="D840" s="66"/>
      <c r="E840" s="66"/>
      <c r="F840" s="66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66"/>
      <c r="B841" s="66"/>
      <c r="C841" s="66"/>
      <c r="D841" s="66"/>
      <c r="E841" s="66"/>
      <c r="F841" s="66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66"/>
      <c r="B842" s="66"/>
      <c r="C842" s="66"/>
      <c r="D842" s="66"/>
      <c r="E842" s="66"/>
      <c r="F842" s="66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66"/>
      <c r="B843" s="66"/>
      <c r="C843" s="66"/>
      <c r="D843" s="66"/>
      <c r="E843" s="66"/>
      <c r="F843" s="66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66"/>
      <c r="B844" s="66"/>
      <c r="C844" s="66"/>
      <c r="D844" s="66"/>
      <c r="E844" s="66"/>
      <c r="F844" s="66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66"/>
      <c r="B845" s="66"/>
      <c r="C845" s="66"/>
      <c r="D845" s="66"/>
      <c r="E845" s="66"/>
      <c r="F845" s="66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66"/>
      <c r="B846" s="66"/>
      <c r="C846" s="66"/>
      <c r="D846" s="66"/>
      <c r="E846" s="66"/>
      <c r="F846" s="66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66"/>
      <c r="B847" s="66"/>
      <c r="C847" s="66"/>
      <c r="D847" s="66"/>
      <c r="E847" s="66"/>
      <c r="F847" s="66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66"/>
      <c r="B848" s="66"/>
      <c r="C848" s="66"/>
      <c r="D848" s="66"/>
      <c r="E848" s="66"/>
      <c r="F848" s="66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66"/>
      <c r="B849" s="66"/>
      <c r="C849" s="66"/>
      <c r="D849" s="66"/>
      <c r="E849" s="66"/>
      <c r="F849" s="66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66"/>
      <c r="B850" s="66"/>
      <c r="C850" s="66"/>
      <c r="D850" s="66"/>
      <c r="E850" s="66"/>
      <c r="F850" s="66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66"/>
      <c r="B851" s="66"/>
      <c r="C851" s="66"/>
      <c r="D851" s="66"/>
      <c r="E851" s="66"/>
      <c r="F851" s="66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66"/>
      <c r="B852" s="66"/>
      <c r="C852" s="66"/>
      <c r="D852" s="66"/>
      <c r="E852" s="66"/>
      <c r="F852" s="66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66"/>
      <c r="B853" s="66"/>
      <c r="C853" s="66"/>
      <c r="D853" s="66"/>
      <c r="E853" s="66"/>
      <c r="F853" s="66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66"/>
      <c r="B854" s="66"/>
      <c r="C854" s="66"/>
      <c r="D854" s="66"/>
      <c r="E854" s="66"/>
      <c r="F854" s="66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66"/>
      <c r="B855" s="66"/>
      <c r="C855" s="66"/>
      <c r="D855" s="66"/>
      <c r="E855" s="66"/>
      <c r="F855" s="66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66"/>
      <c r="B856" s="66"/>
      <c r="C856" s="66"/>
      <c r="D856" s="66"/>
      <c r="E856" s="66"/>
      <c r="F856" s="66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66"/>
      <c r="B857" s="66"/>
      <c r="C857" s="66"/>
      <c r="D857" s="66"/>
      <c r="E857" s="66"/>
      <c r="F857" s="66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66"/>
      <c r="B858" s="66"/>
      <c r="C858" s="66"/>
      <c r="D858" s="66"/>
      <c r="E858" s="66"/>
      <c r="F858" s="66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66"/>
      <c r="B859" s="66"/>
      <c r="C859" s="66"/>
      <c r="D859" s="66"/>
      <c r="E859" s="66"/>
      <c r="F859" s="66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66"/>
      <c r="B860" s="66"/>
      <c r="C860" s="66"/>
      <c r="D860" s="66"/>
      <c r="E860" s="66"/>
      <c r="F860" s="66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66"/>
      <c r="B861" s="66"/>
      <c r="C861" s="66"/>
      <c r="D861" s="66"/>
      <c r="E861" s="66"/>
      <c r="F861" s="66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66"/>
      <c r="B862" s="66"/>
      <c r="C862" s="66"/>
      <c r="D862" s="66"/>
      <c r="E862" s="66"/>
      <c r="F862" s="66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66"/>
      <c r="B863" s="66"/>
      <c r="C863" s="66"/>
      <c r="D863" s="66"/>
      <c r="E863" s="66"/>
      <c r="F863" s="66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66"/>
      <c r="B864" s="66"/>
      <c r="C864" s="66"/>
      <c r="D864" s="66"/>
      <c r="E864" s="66"/>
      <c r="F864" s="66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66"/>
      <c r="B865" s="66"/>
      <c r="C865" s="66"/>
      <c r="D865" s="66"/>
      <c r="E865" s="66"/>
      <c r="F865" s="66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66"/>
      <c r="B866" s="66"/>
      <c r="C866" s="66"/>
      <c r="D866" s="66"/>
      <c r="E866" s="66"/>
      <c r="F866" s="66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66"/>
      <c r="B867" s="66"/>
      <c r="C867" s="66"/>
      <c r="D867" s="66"/>
      <c r="E867" s="66"/>
      <c r="F867" s="66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66"/>
      <c r="B868" s="66"/>
      <c r="C868" s="66"/>
      <c r="D868" s="66"/>
      <c r="E868" s="66"/>
      <c r="F868" s="66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66"/>
      <c r="B869" s="66"/>
      <c r="C869" s="66"/>
      <c r="D869" s="66"/>
      <c r="E869" s="66"/>
      <c r="F869" s="66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66"/>
      <c r="B870" s="66"/>
      <c r="C870" s="66"/>
      <c r="D870" s="66"/>
      <c r="E870" s="66"/>
      <c r="F870" s="66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66"/>
      <c r="B871" s="66"/>
      <c r="C871" s="66"/>
      <c r="D871" s="66"/>
      <c r="E871" s="66"/>
      <c r="F871" s="66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66"/>
      <c r="B872" s="66"/>
      <c r="C872" s="66"/>
      <c r="D872" s="66"/>
      <c r="E872" s="66"/>
      <c r="F872" s="66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66"/>
      <c r="B873" s="66"/>
      <c r="C873" s="66"/>
      <c r="D873" s="66"/>
      <c r="E873" s="66"/>
      <c r="F873" s="66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66"/>
      <c r="B874" s="66"/>
      <c r="C874" s="66"/>
      <c r="D874" s="66"/>
      <c r="E874" s="66"/>
      <c r="F874" s="66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66"/>
      <c r="B875" s="66"/>
      <c r="C875" s="66"/>
      <c r="D875" s="66"/>
      <c r="E875" s="66"/>
      <c r="F875" s="66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66"/>
      <c r="B876" s="66"/>
      <c r="C876" s="66"/>
      <c r="D876" s="66"/>
      <c r="E876" s="66"/>
      <c r="F876" s="66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66"/>
      <c r="B877" s="66"/>
      <c r="C877" s="66"/>
      <c r="D877" s="66"/>
      <c r="E877" s="66"/>
      <c r="F877" s="66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66"/>
      <c r="B878" s="66"/>
      <c r="C878" s="66"/>
      <c r="D878" s="66"/>
      <c r="E878" s="66"/>
      <c r="F878" s="66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66"/>
      <c r="B879" s="66"/>
      <c r="C879" s="66"/>
      <c r="D879" s="66"/>
      <c r="E879" s="66"/>
      <c r="F879" s="66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66"/>
      <c r="B880" s="66"/>
      <c r="C880" s="66"/>
      <c r="D880" s="66"/>
      <c r="E880" s="66"/>
      <c r="F880" s="66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66"/>
      <c r="B881" s="66"/>
      <c r="C881" s="66"/>
      <c r="D881" s="66"/>
      <c r="E881" s="66"/>
      <c r="F881" s="66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66"/>
      <c r="B882" s="66"/>
      <c r="C882" s="66"/>
      <c r="D882" s="66"/>
      <c r="E882" s="66"/>
      <c r="F882" s="66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66"/>
      <c r="B883" s="66"/>
      <c r="C883" s="66"/>
      <c r="D883" s="66"/>
      <c r="E883" s="66"/>
      <c r="F883" s="66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66"/>
      <c r="B884" s="66"/>
      <c r="C884" s="66"/>
      <c r="D884" s="66"/>
      <c r="E884" s="66"/>
      <c r="F884" s="66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66"/>
      <c r="B885" s="66"/>
      <c r="C885" s="66"/>
      <c r="D885" s="66"/>
      <c r="E885" s="66"/>
      <c r="F885" s="66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66"/>
      <c r="B886" s="66"/>
      <c r="C886" s="66"/>
      <c r="D886" s="66"/>
      <c r="E886" s="66"/>
      <c r="F886" s="66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66"/>
      <c r="B887" s="66"/>
      <c r="C887" s="66"/>
      <c r="D887" s="66"/>
      <c r="E887" s="66"/>
      <c r="F887" s="66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66"/>
      <c r="B888" s="66"/>
      <c r="C888" s="66"/>
      <c r="D888" s="66"/>
      <c r="E888" s="66"/>
      <c r="F888" s="66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66"/>
      <c r="B889" s="66"/>
      <c r="C889" s="66"/>
      <c r="D889" s="66"/>
      <c r="E889" s="66"/>
      <c r="F889" s="66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66"/>
      <c r="B890" s="66"/>
      <c r="C890" s="66"/>
      <c r="D890" s="66"/>
      <c r="E890" s="66"/>
      <c r="F890" s="66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66"/>
      <c r="B891" s="66"/>
      <c r="C891" s="66"/>
      <c r="D891" s="66"/>
      <c r="E891" s="66"/>
      <c r="F891" s="66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66"/>
      <c r="B892" s="66"/>
      <c r="C892" s="66"/>
      <c r="D892" s="66"/>
      <c r="E892" s="66"/>
      <c r="F892" s="66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66"/>
      <c r="B893" s="66"/>
      <c r="C893" s="66"/>
      <c r="D893" s="66"/>
      <c r="E893" s="66"/>
      <c r="F893" s="66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66"/>
      <c r="B894" s="66"/>
      <c r="C894" s="66"/>
      <c r="D894" s="66"/>
      <c r="E894" s="66"/>
      <c r="F894" s="66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66"/>
      <c r="B895" s="66"/>
      <c r="C895" s="66"/>
      <c r="D895" s="66"/>
      <c r="E895" s="66"/>
      <c r="F895" s="66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66"/>
      <c r="B896" s="66"/>
      <c r="C896" s="66"/>
      <c r="D896" s="66"/>
      <c r="E896" s="66"/>
      <c r="F896" s="66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66"/>
      <c r="B897" s="66"/>
      <c r="C897" s="66"/>
      <c r="D897" s="66"/>
      <c r="E897" s="66"/>
      <c r="F897" s="66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66"/>
      <c r="B898" s="66"/>
      <c r="C898" s="66"/>
      <c r="D898" s="66"/>
      <c r="E898" s="66"/>
      <c r="F898" s="66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66"/>
      <c r="B899" s="66"/>
      <c r="C899" s="66"/>
      <c r="D899" s="66"/>
      <c r="E899" s="66"/>
      <c r="F899" s="66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66"/>
      <c r="B900" s="66"/>
      <c r="C900" s="66"/>
      <c r="D900" s="66"/>
      <c r="E900" s="66"/>
      <c r="F900" s="66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66"/>
      <c r="B901" s="66"/>
      <c r="C901" s="66"/>
      <c r="D901" s="66"/>
      <c r="E901" s="66"/>
      <c r="F901" s="66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66"/>
      <c r="B902" s="66"/>
      <c r="C902" s="66"/>
      <c r="D902" s="66"/>
      <c r="E902" s="66"/>
      <c r="F902" s="66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66"/>
      <c r="B903" s="66"/>
      <c r="C903" s="66"/>
      <c r="D903" s="66"/>
      <c r="E903" s="66"/>
      <c r="F903" s="66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66"/>
      <c r="B904" s="66"/>
      <c r="C904" s="66"/>
      <c r="D904" s="66"/>
      <c r="E904" s="66"/>
      <c r="F904" s="66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66"/>
      <c r="B905" s="66"/>
      <c r="C905" s="66"/>
      <c r="D905" s="66"/>
      <c r="E905" s="66"/>
      <c r="F905" s="66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66"/>
      <c r="B906" s="66"/>
      <c r="C906" s="66"/>
      <c r="D906" s="66"/>
      <c r="E906" s="66"/>
      <c r="F906" s="66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66"/>
      <c r="B907" s="66"/>
      <c r="C907" s="66"/>
      <c r="D907" s="66"/>
      <c r="E907" s="66"/>
      <c r="F907" s="66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66"/>
      <c r="B908" s="66"/>
      <c r="C908" s="66"/>
      <c r="D908" s="66"/>
      <c r="E908" s="66"/>
      <c r="F908" s="66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66"/>
      <c r="B909" s="66"/>
      <c r="C909" s="66"/>
      <c r="D909" s="66"/>
      <c r="E909" s="66"/>
      <c r="F909" s="66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66"/>
      <c r="B910" s="66"/>
      <c r="C910" s="66"/>
      <c r="D910" s="66"/>
      <c r="E910" s="66"/>
      <c r="F910" s="66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66"/>
      <c r="B911" s="66"/>
      <c r="C911" s="66"/>
      <c r="D911" s="66"/>
      <c r="E911" s="66"/>
      <c r="F911" s="66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66"/>
      <c r="B912" s="66"/>
      <c r="C912" s="66"/>
      <c r="D912" s="66"/>
      <c r="E912" s="66"/>
      <c r="F912" s="66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66"/>
      <c r="B913" s="66"/>
      <c r="C913" s="66"/>
      <c r="D913" s="66"/>
      <c r="E913" s="66"/>
      <c r="F913" s="66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66"/>
      <c r="B914" s="66"/>
      <c r="C914" s="66"/>
      <c r="D914" s="66"/>
      <c r="E914" s="66"/>
      <c r="F914" s="66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66"/>
      <c r="B915" s="66"/>
      <c r="C915" s="66"/>
      <c r="D915" s="66"/>
      <c r="E915" s="66"/>
      <c r="F915" s="66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66"/>
      <c r="B916" s="66"/>
      <c r="C916" s="66"/>
      <c r="D916" s="66"/>
      <c r="E916" s="66"/>
      <c r="F916" s="66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66"/>
      <c r="B917" s="66"/>
      <c r="C917" s="66"/>
      <c r="D917" s="66"/>
      <c r="E917" s="66"/>
      <c r="F917" s="66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66"/>
      <c r="B918" s="66"/>
      <c r="C918" s="66"/>
      <c r="D918" s="66"/>
      <c r="E918" s="66"/>
      <c r="F918" s="66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66"/>
      <c r="B919" s="66"/>
      <c r="C919" s="66"/>
      <c r="D919" s="66"/>
      <c r="E919" s="66"/>
      <c r="F919" s="66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66"/>
      <c r="B920" s="66"/>
      <c r="C920" s="66"/>
      <c r="D920" s="66"/>
      <c r="E920" s="66"/>
      <c r="F920" s="66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66"/>
      <c r="B921" s="66"/>
      <c r="C921" s="66"/>
      <c r="D921" s="66"/>
      <c r="E921" s="66"/>
      <c r="F921" s="66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66"/>
      <c r="B922" s="66"/>
      <c r="C922" s="66"/>
      <c r="D922" s="66"/>
      <c r="E922" s="66"/>
      <c r="F922" s="66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66"/>
      <c r="B923" s="66"/>
      <c r="C923" s="66"/>
      <c r="D923" s="66"/>
      <c r="E923" s="66"/>
      <c r="F923" s="66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66"/>
      <c r="B924" s="66"/>
      <c r="C924" s="66"/>
      <c r="D924" s="66"/>
      <c r="E924" s="66"/>
      <c r="F924" s="66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66"/>
      <c r="B925" s="66"/>
      <c r="C925" s="66"/>
      <c r="D925" s="66"/>
      <c r="E925" s="66"/>
      <c r="F925" s="66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66"/>
      <c r="B926" s="66"/>
      <c r="C926" s="66"/>
      <c r="D926" s="66"/>
      <c r="E926" s="66"/>
      <c r="F926" s="66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66"/>
      <c r="B927" s="66"/>
      <c r="C927" s="66"/>
      <c r="D927" s="66"/>
      <c r="E927" s="66"/>
      <c r="F927" s="66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66"/>
      <c r="B928" s="66"/>
      <c r="C928" s="66"/>
      <c r="D928" s="66"/>
      <c r="E928" s="66"/>
      <c r="F928" s="66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66"/>
      <c r="B929" s="66"/>
      <c r="C929" s="66"/>
      <c r="D929" s="66"/>
      <c r="E929" s="66"/>
      <c r="F929" s="66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66"/>
      <c r="B930" s="66"/>
      <c r="C930" s="66"/>
      <c r="D930" s="66"/>
      <c r="E930" s="66"/>
      <c r="F930" s="66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66"/>
      <c r="B931" s="66"/>
      <c r="C931" s="66"/>
      <c r="D931" s="66"/>
      <c r="E931" s="66"/>
      <c r="F931" s="66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66"/>
      <c r="B932" s="66"/>
      <c r="C932" s="66"/>
      <c r="D932" s="66"/>
      <c r="E932" s="66"/>
      <c r="F932" s="66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66"/>
      <c r="B933" s="66"/>
      <c r="C933" s="66"/>
      <c r="D933" s="66"/>
      <c r="E933" s="66"/>
      <c r="F933" s="66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66"/>
      <c r="B934" s="66"/>
      <c r="C934" s="66"/>
      <c r="D934" s="66"/>
      <c r="E934" s="66"/>
      <c r="F934" s="66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66"/>
      <c r="B935" s="66"/>
      <c r="C935" s="66"/>
      <c r="D935" s="66"/>
      <c r="E935" s="66"/>
      <c r="F935" s="66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66"/>
      <c r="B936" s="66"/>
      <c r="C936" s="66"/>
      <c r="D936" s="66"/>
      <c r="E936" s="66"/>
      <c r="F936" s="66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66"/>
      <c r="B937" s="66"/>
      <c r="C937" s="66"/>
      <c r="D937" s="66"/>
      <c r="E937" s="66"/>
      <c r="F937" s="66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66"/>
      <c r="B938" s="66"/>
      <c r="C938" s="66"/>
      <c r="D938" s="66"/>
      <c r="E938" s="66"/>
      <c r="F938" s="66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66"/>
      <c r="B939" s="66"/>
      <c r="C939" s="66"/>
      <c r="D939" s="66"/>
      <c r="E939" s="66"/>
      <c r="F939" s="66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66"/>
      <c r="B940" s="66"/>
      <c r="C940" s="66"/>
      <c r="D940" s="66"/>
      <c r="E940" s="66"/>
      <c r="F940" s="66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66"/>
      <c r="B941" s="66"/>
      <c r="C941" s="66"/>
      <c r="D941" s="66"/>
      <c r="E941" s="66"/>
      <c r="F941" s="66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66"/>
      <c r="B942" s="66"/>
      <c r="C942" s="66"/>
      <c r="D942" s="66"/>
      <c r="E942" s="66"/>
      <c r="F942" s="66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66"/>
      <c r="B943" s="66"/>
      <c r="C943" s="66"/>
      <c r="D943" s="66"/>
      <c r="E943" s="66"/>
      <c r="F943" s="66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66"/>
      <c r="B944" s="66"/>
      <c r="C944" s="66"/>
      <c r="D944" s="66"/>
      <c r="E944" s="66"/>
      <c r="F944" s="66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66"/>
      <c r="B945" s="66"/>
      <c r="C945" s="66"/>
      <c r="D945" s="66"/>
      <c r="E945" s="66"/>
      <c r="F945" s="66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66"/>
      <c r="B946" s="66"/>
      <c r="C946" s="66"/>
      <c r="D946" s="66"/>
      <c r="E946" s="66"/>
      <c r="F946" s="66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66"/>
      <c r="B947" s="66"/>
      <c r="C947" s="66"/>
      <c r="D947" s="66"/>
      <c r="E947" s="66"/>
      <c r="F947" s="66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66"/>
      <c r="B948" s="66"/>
      <c r="C948" s="66"/>
      <c r="D948" s="66"/>
      <c r="E948" s="66"/>
      <c r="F948" s="66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66"/>
      <c r="B949" s="66"/>
      <c r="C949" s="66"/>
      <c r="D949" s="66"/>
      <c r="E949" s="66"/>
      <c r="F949" s="66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66"/>
      <c r="B950" s="66"/>
      <c r="C950" s="66"/>
      <c r="D950" s="66"/>
      <c r="E950" s="66"/>
      <c r="F950" s="66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66"/>
      <c r="B951" s="66"/>
      <c r="C951" s="66"/>
      <c r="D951" s="66"/>
      <c r="E951" s="66"/>
      <c r="F951" s="66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66"/>
      <c r="B952" s="66"/>
      <c r="C952" s="66"/>
      <c r="D952" s="66"/>
      <c r="E952" s="66"/>
      <c r="F952" s="66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66"/>
      <c r="B953" s="66"/>
      <c r="C953" s="66"/>
      <c r="D953" s="66"/>
      <c r="E953" s="66"/>
      <c r="F953" s="66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66"/>
      <c r="B954" s="66"/>
      <c r="C954" s="66"/>
      <c r="D954" s="66"/>
      <c r="E954" s="66"/>
      <c r="F954" s="66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66"/>
      <c r="B955" s="66"/>
      <c r="C955" s="66"/>
      <c r="D955" s="66"/>
      <c r="E955" s="66"/>
      <c r="F955" s="66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66"/>
      <c r="B956" s="66"/>
      <c r="C956" s="66"/>
      <c r="D956" s="66"/>
      <c r="E956" s="66"/>
      <c r="F956" s="66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66"/>
      <c r="B957" s="66"/>
      <c r="C957" s="66"/>
      <c r="D957" s="66"/>
      <c r="E957" s="66"/>
      <c r="F957" s="66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66"/>
      <c r="B958" s="66"/>
      <c r="C958" s="66"/>
      <c r="D958" s="66"/>
      <c r="E958" s="66"/>
      <c r="F958" s="66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66"/>
      <c r="B959" s="66"/>
      <c r="C959" s="66"/>
      <c r="D959" s="66"/>
      <c r="E959" s="66"/>
      <c r="F959" s="66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66"/>
      <c r="B960" s="66"/>
      <c r="C960" s="66"/>
      <c r="D960" s="66"/>
      <c r="E960" s="66"/>
      <c r="F960" s="66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66"/>
      <c r="B961" s="66"/>
      <c r="C961" s="66"/>
      <c r="D961" s="66"/>
      <c r="E961" s="66"/>
      <c r="F961" s="66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66"/>
      <c r="B962" s="66"/>
      <c r="C962" s="66"/>
      <c r="D962" s="66"/>
      <c r="E962" s="66"/>
      <c r="F962" s="66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66"/>
      <c r="B963" s="66"/>
      <c r="C963" s="66"/>
      <c r="D963" s="66"/>
      <c r="E963" s="66"/>
      <c r="F963" s="66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66"/>
      <c r="B964" s="66"/>
      <c r="C964" s="66"/>
      <c r="D964" s="66"/>
      <c r="E964" s="66"/>
      <c r="F964" s="66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66"/>
      <c r="B965" s="66"/>
      <c r="C965" s="66"/>
      <c r="D965" s="66"/>
      <c r="E965" s="66"/>
      <c r="F965" s="66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66"/>
      <c r="B966" s="66"/>
      <c r="C966" s="66"/>
      <c r="D966" s="66"/>
      <c r="E966" s="66"/>
      <c r="F966" s="66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66"/>
      <c r="B967" s="66"/>
      <c r="C967" s="66"/>
      <c r="D967" s="66"/>
      <c r="E967" s="66"/>
      <c r="F967" s="66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66"/>
      <c r="B968" s="66"/>
      <c r="C968" s="66"/>
      <c r="D968" s="66"/>
      <c r="E968" s="66"/>
      <c r="F968" s="66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66"/>
      <c r="B969" s="66"/>
      <c r="C969" s="66"/>
      <c r="D969" s="66"/>
      <c r="E969" s="66"/>
      <c r="F969" s="66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66"/>
      <c r="B970" s="66"/>
      <c r="C970" s="66"/>
      <c r="D970" s="66"/>
      <c r="E970" s="66"/>
      <c r="F970" s="66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66"/>
      <c r="B971" s="66"/>
      <c r="C971" s="66"/>
      <c r="D971" s="66"/>
      <c r="E971" s="66"/>
      <c r="F971" s="66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66"/>
      <c r="B972" s="66"/>
      <c r="C972" s="66"/>
      <c r="D972" s="66"/>
      <c r="E972" s="66"/>
      <c r="F972" s="66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66"/>
      <c r="B973" s="66"/>
      <c r="C973" s="66"/>
      <c r="D973" s="66"/>
      <c r="E973" s="66"/>
      <c r="F973" s="66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66"/>
      <c r="B974" s="66"/>
      <c r="C974" s="66"/>
      <c r="D974" s="66"/>
      <c r="E974" s="66"/>
      <c r="F974" s="66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66"/>
      <c r="B975" s="66"/>
      <c r="C975" s="66"/>
      <c r="D975" s="66"/>
      <c r="E975" s="66"/>
      <c r="F975" s="66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66"/>
      <c r="B976" s="66"/>
      <c r="C976" s="66"/>
      <c r="D976" s="66"/>
      <c r="E976" s="66"/>
      <c r="F976" s="66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66"/>
      <c r="B977" s="66"/>
      <c r="C977" s="66"/>
      <c r="D977" s="66"/>
      <c r="E977" s="66"/>
      <c r="F977" s="66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66"/>
      <c r="B978" s="66"/>
      <c r="C978" s="66"/>
      <c r="D978" s="66"/>
      <c r="E978" s="66"/>
      <c r="F978" s="66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66"/>
      <c r="B979" s="66"/>
      <c r="C979" s="66"/>
      <c r="D979" s="66"/>
      <c r="E979" s="66"/>
      <c r="F979" s="66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66"/>
      <c r="B980" s="66"/>
      <c r="C980" s="66"/>
      <c r="D980" s="66"/>
      <c r="E980" s="66"/>
      <c r="F980" s="66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66"/>
      <c r="B981" s="66"/>
      <c r="C981" s="66"/>
      <c r="D981" s="66"/>
      <c r="E981" s="66"/>
      <c r="F981" s="66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66"/>
      <c r="B982" s="66"/>
      <c r="C982" s="66"/>
      <c r="D982" s="66"/>
      <c r="E982" s="66"/>
      <c r="F982" s="66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66"/>
      <c r="B983" s="66"/>
      <c r="C983" s="66"/>
      <c r="D983" s="66"/>
      <c r="E983" s="66"/>
      <c r="F983" s="66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66"/>
      <c r="B984" s="66"/>
      <c r="C984" s="66"/>
      <c r="D984" s="66"/>
      <c r="E984" s="66"/>
      <c r="F984" s="66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66"/>
      <c r="B985" s="66"/>
      <c r="C985" s="66"/>
      <c r="D985" s="66"/>
      <c r="E985" s="66"/>
      <c r="F985" s="66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66"/>
      <c r="B986" s="66"/>
      <c r="C986" s="66"/>
      <c r="D986" s="66"/>
      <c r="E986" s="66"/>
      <c r="F986" s="66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66"/>
      <c r="B987" s="66"/>
      <c r="C987" s="66"/>
      <c r="D987" s="66"/>
      <c r="E987" s="66"/>
      <c r="F987" s="66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66"/>
      <c r="B988" s="66"/>
      <c r="C988" s="66"/>
      <c r="D988" s="66"/>
      <c r="E988" s="66"/>
      <c r="F988" s="66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66"/>
      <c r="B989" s="66"/>
      <c r="C989" s="66"/>
      <c r="D989" s="66"/>
      <c r="E989" s="66"/>
      <c r="F989" s="66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66"/>
      <c r="B990" s="66"/>
      <c r="C990" s="66"/>
      <c r="D990" s="66"/>
      <c r="E990" s="66"/>
      <c r="F990" s="66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66"/>
      <c r="B991" s="66"/>
      <c r="C991" s="66"/>
      <c r="D991" s="66"/>
      <c r="E991" s="66"/>
      <c r="F991" s="66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66"/>
      <c r="B992" s="66"/>
      <c r="C992" s="66"/>
      <c r="D992" s="66"/>
      <c r="E992" s="66"/>
      <c r="F992" s="66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66"/>
      <c r="B993" s="66"/>
      <c r="C993" s="66"/>
      <c r="D993" s="66"/>
      <c r="E993" s="66"/>
      <c r="F993" s="66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66"/>
      <c r="B994" s="66"/>
      <c r="C994" s="66"/>
      <c r="D994" s="66"/>
      <c r="E994" s="66"/>
      <c r="F994" s="66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66"/>
      <c r="B995" s="66"/>
      <c r="C995" s="66"/>
      <c r="D995" s="66"/>
      <c r="E995" s="66"/>
      <c r="F995" s="66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66"/>
      <c r="B996" s="66"/>
      <c r="C996" s="66"/>
      <c r="D996" s="66"/>
      <c r="E996" s="66"/>
      <c r="F996" s="66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66"/>
      <c r="B997" s="66"/>
      <c r="C997" s="66"/>
      <c r="D997" s="66"/>
      <c r="E997" s="66"/>
      <c r="F997" s="66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66"/>
      <c r="B998" s="66"/>
      <c r="C998" s="66"/>
      <c r="D998" s="66"/>
      <c r="E998" s="66"/>
      <c r="F998" s="66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66"/>
      <c r="B999" s="66"/>
      <c r="C999" s="66"/>
      <c r="D999" s="66"/>
      <c r="E999" s="66"/>
      <c r="F999" s="66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66"/>
      <c r="B1000" s="66"/>
      <c r="C1000" s="66"/>
      <c r="D1000" s="66"/>
      <c r="E1000" s="66"/>
      <c r="F1000" s="66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H$134">
    <sortState ref="A1:H134">
      <sortCondition ref="H1:H134"/>
    </sortState>
  </autoFilter>
  <hyperlinks>
    <hyperlink r:id="rId1" ref="F2"/>
    <hyperlink r:id="rId2" ref="F3"/>
    <hyperlink r:id="rId3" ref="F4"/>
    <hyperlink r:id="rId4" ref="F5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4"/>
    <hyperlink r:id="rId111" ref="F115"/>
    <hyperlink r:id="rId112" ref="F116"/>
    <hyperlink r:id="rId113" ref="F117"/>
    <hyperlink r:id="rId114" ref="F118"/>
    <hyperlink r:id="rId115" ref="F119"/>
    <hyperlink r:id="rId116" ref="F120"/>
    <hyperlink r:id="rId117" ref="F121"/>
    <hyperlink r:id="rId118" ref="F122"/>
    <hyperlink r:id="rId119" ref="F123"/>
    <hyperlink r:id="rId120" ref="F124"/>
    <hyperlink r:id="rId121" ref="F125"/>
    <hyperlink r:id="rId122" ref="F126"/>
    <hyperlink r:id="rId123" ref="F127"/>
    <hyperlink r:id="rId124" ref="F128"/>
    <hyperlink r:id="rId125" ref="F129"/>
    <hyperlink r:id="rId126" ref="F130"/>
    <hyperlink r:id="rId127" ref="F131"/>
    <hyperlink r:id="rId128" ref="F132"/>
    <hyperlink r:id="rId129" ref="F133"/>
    <hyperlink r:id="rId130" ref="F134"/>
  </hyperlinks>
  <drawing r:id="rId13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55.86"/>
    <col customWidth="1" min="3" max="3" width="9.43"/>
    <col customWidth="1" min="4" max="4" width="19.43"/>
    <col customWidth="1" min="5" max="5" width="12.14"/>
    <col customWidth="1" min="6" max="6" width="14.43"/>
    <col customWidth="1" min="7" max="7" width="9.14"/>
    <col customWidth="1" min="8" max="24" width="8.71"/>
  </cols>
  <sheetData>
    <row r="1">
      <c r="A1" s="75" t="s">
        <v>737</v>
      </c>
      <c r="B1" s="76"/>
      <c r="C1" s="76"/>
      <c r="D1" s="77"/>
    </row>
    <row r="2">
      <c r="A2" s="78" t="s">
        <v>738</v>
      </c>
      <c r="B2" s="78" t="s">
        <v>739</v>
      </c>
      <c r="C2" s="79" t="s">
        <v>5</v>
      </c>
      <c r="D2" s="78" t="s">
        <v>740</v>
      </c>
      <c r="E2" s="80" t="s">
        <v>741</v>
      </c>
      <c r="F2" s="80" t="s">
        <v>742</v>
      </c>
      <c r="G2" s="80" t="s">
        <v>743</v>
      </c>
      <c r="H2" s="80" t="s">
        <v>49</v>
      </c>
    </row>
    <row r="3">
      <c r="A3" s="81">
        <v>3.0</v>
      </c>
      <c r="B3" s="81" t="s">
        <v>744</v>
      </c>
      <c r="C3" s="81">
        <f>50 + SUMIF(Purchase!C:C,Stock!B3,Purchase!D:D)-SUMIF(Sale!C:C,Stock!B3,Sale!D:D)</f>
        <v>50</v>
      </c>
      <c r="D3" s="82" t="str">
        <f t="shared" ref="D3:D175" si="1">IF(C3&lt;E3,"Low Stock","In Stock")</f>
        <v>In Stock</v>
      </c>
      <c r="E3" s="82">
        <v>1.0</v>
      </c>
      <c r="F3" s="83">
        <v>0.0</v>
      </c>
      <c r="G3" s="84">
        <v>0.0</v>
      </c>
      <c r="H3" s="84">
        <f t="shared" ref="H3:H175" si="2">G3*C3</f>
        <v>0</v>
      </c>
    </row>
    <row r="4">
      <c r="A4" s="85"/>
      <c r="B4" s="85"/>
      <c r="C4" s="81"/>
      <c r="D4" s="82" t="str">
        <f t="shared" si="1"/>
        <v>Low Stock</v>
      </c>
      <c r="E4" s="86">
        <v>1.0</v>
      </c>
      <c r="F4" s="86">
        <v>0.0</v>
      </c>
      <c r="G4" s="83">
        <v>0.0</v>
      </c>
      <c r="H4" s="84">
        <f t="shared" si="2"/>
        <v>0</v>
      </c>
    </row>
    <row r="5">
      <c r="A5" s="85" t="s">
        <v>746</v>
      </c>
      <c r="B5" s="85" t="s">
        <v>746</v>
      </c>
      <c r="C5" s="81">
        <f>F5 + SUMIF(Purchase!C:C,Stock!B5,Purchase!D:D)-SUMIF(Sale!C:C,Stock!B5,Sale!D:D)</f>
        <v>250</v>
      </c>
      <c r="D5" s="82" t="str">
        <f t="shared" si="1"/>
        <v>In Stock</v>
      </c>
      <c r="E5" s="86">
        <v>1.0</v>
      </c>
      <c r="F5" s="86">
        <v>250.0</v>
      </c>
      <c r="G5" s="83">
        <v>0.0</v>
      </c>
      <c r="H5" s="84">
        <f t="shared" si="2"/>
        <v>0</v>
      </c>
    </row>
    <row r="6">
      <c r="A6" s="85" t="s">
        <v>747</v>
      </c>
      <c r="B6" s="85" t="s">
        <v>747</v>
      </c>
      <c r="C6" s="81">
        <f>F6 + SUMIF(Purchase!C:C,Stock!B6,Purchase!D:D)-SUMIF(Sale!C:C,Stock!B6,Sale!D:D)</f>
        <v>250</v>
      </c>
      <c r="D6" s="82" t="str">
        <f t="shared" si="1"/>
        <v>In Stock</v>
      </c>
      <c r="E6" s="86">
        <v>1.0</v>
      </c>
      <c r="F6" s="86">
        <v>250.0</v>
      </c>
      <c r="G6" s="83">
        <v>0.0</v>
      </c>
      <c r="H6" s="84">
        <f t="shared" si="2"/>
        <v>0</v>
      </c>
    </row>
    <row r="7">
      <c r="A7" s="85" t="s">
        <v>750</v>
      </c>
      <c r="B7" s="85" t="s">
        <v>750</v>
      </c>
      <c r="C7" s="81">
        <f>F7 + SUMIF(Purchase!C:C,Stock!B7,Purchase!D:D)-SUMIF(Sale!C:C,Stock!B7,Sale!D:D)</f>
        <v>250</v>
      </c>
      <c r="D7" s="82" t="str">
        <f t="shared" si="1"/>
        <v>In Stock</v>
      </c>
      <c r="E7" s="86">
        <v>1.0</v>
      </c>
      <c r="F7" s="86">
        <v>250.0</v>
      </c>
      <c r="G7" s="83">
        <v>0.0</v>
      </c>
      <c r="H7" s="84">
        <f t="shared" si="2"/>
        <v>0</v>
      </c>
    </row>
    <row r="8">
      <c r="A8" s="85" t="s">
        <v>751</v>
      </c>
      <c r="B8" s="85" t="s">
        <v>751</v>
      </c>
      <c r="C8" s="81">
        <f>F8 + SUMIF(Purchase!C:C,Stock!B8,Purchase!D:D)-SUMIF(Sale!C:C,Stock!B8,Sale!D:D)</f>
        <v>250</v>
      </c>
      <c r="D8" s="82" t="str">
        <f t="shared" si="1"/>
        <v>In Stock</v>
      </c>
      <c r="E8" s="86">
        <v>1.0</v>
      </c>
      <c r="F8" s="86">
        <v>250.0</v>
      </c>
      <c r="G8" s="83">
        <v>0.0</v>
      </c>
      <c r="H8" s="84">
        <f t="shared" si="2"/>
        <v>0</v>
      </c>
    </row>
    <row r="9">
      <c r="A9" s="85" t="s">
        <v>753</v>
      </c>
      <c r="B9" s="85" t="s">
        <v>753</v>
      </c>
      <c r="C9" s="81">
        <f>F9 + SUMIF(Purchase!C:C,Stock!B9,Purchase!D:D)-SUMIF(Sale!C:C,Stock!B9,Sale!D:D)</f>
        <v>250</v>
      </c>
      <c r="D9" s="82" t="str">
        <f t="shared" si="1"/>
        <v>In Stock</v>
      </c>
      <c r="E9" s="86">
        <v>1.0</v>
      </c>
      <c r="F9" s="86">
        <v>250.0</v>
      </c>
      <c r="G9" s="83">
        <v>0.0</v>
      </c>
      <c r="H9" s="84">
        <f t="shared" si="2"/>
        <v>0</v>
      </c>
    </row>
    <row r="10">
      <c r="A10" s="85" t="s">
        <v>754</v>
      </c>
      <c r="B10" s="85" t="s">
        <v>754</v>
      </c>
      <c r="C10" s="81">
        <f>F10 + SUMIF(Purchase!C:C,Stock!B10,Purchase!D:D)-SUMIF(Sale!C:C,Stock!B10,Sale!D:D)</f>
        <v>250</v>
      </c>
      <c r="D10" s="82" t="str">
        <f t="shared" si="1"/>
        <v>In Stock</v>
      </c>
      <c r="E10" s="86">
        <v>1.0</v>
      </c>
      <c r="F10" s="86">
        <v>250.0</v>
      </c>
      <c r="G10" s="83">
        <v>0.0</v>
      </c>
      <c r="H10" s="84">
        <f t="shared" si="2"/>
        <v>0</v>
      </c>
    </row>
    <row r="11">
      <c r="A11" s="85" t="s">
        <v>281</v>
      </c>
      <c r="B11" s="85" t="s">
        <v>281</v>
      </c>
      <c r="C11" s="81">
        <f>F11 + SUMIF(Purchase!C:C,Stock!B11,Purchase!D:D)-SUMIF(Sale!C:C,Stock!B11,Sale!D:D)</f>
        <v>250</v>
      </c>
      <c r="D11" s="82" t="str">
        <f t="shared" si="1"/>
        <v>In Stock</v>
      </c>
      <c r="E11" s="86">
        <v>1.0</v>
      </c>
      <c r="F11" s="86">
        <v>250.0</v>
      </c>
      <c r="G11" s="83">
        <v>0.0</v>
      </c>
      <c r="H11" s="84">
        <f t="shared" si="2"/>
        <v>0</v>
      </c>
    </row>
    <row r="12">
      <c r="A12" s="85" t="s">
        <v>756</v>
      </c>
      <c r="B12" s="85" t="s">
        <v>756</v>
      </c>
      <c r="C12" s="81">
        <f>F12 + SUMIF(Purchase!C:C,Stock!B12,Purchase!D:D)-SUMIF(Sale!C:C,Stock!B12,Sale!D:D)</f>
        <v>250</v>
      </c>
      <c r="D12" s="82" t="str">
        <f t="shared" si="1"/>
        <v>In Stock</v>
      </c>
      <c r="E12" s="86">
        <v>1.0</v>
      </c>
      <c r="F12" s="86">
        <v>250.0</v>
      </c>
      <c r="G12" s="83">
        <v>0.0</v>
      </c>
      <c r="H12" s="84">
        <f t="shared" si="2"/>
        <v>0</v>
      </c>
    </row>
    <row r="13">
      <c r="A13" s="85" t="s">
        <v>759</v>
      </c>
      <c r="B13" s="85" t="s">
        <v>759</v>
      </c>
      <c r="C13" s="81">
        <f>F13 + SUMIF(Purchase!C:C,Stock!B13,Purchase!D:D)-SUMIF(Sale!C:C,Stock!B13,Sale!D:D)</f>
        <v>200</v>
      </c>
      <c r="D13" s="82" t="str">
        <f t="shared" si="1"/>
        <v>In Stock</v>
      </c>
      <c r="E13" s="86">
        <v>1.0</v>
      </c>
      <c r="F13" s="86">
        <v>200.0</v>
      </c>
      <c r="G13" s="83">
        <v>0.0</v>
      </c>
      <c r="H13" s="84">
        <f t="shared" si="2"/>
        <v>0</v>
      </c>
    </row>
    <row r="14">
      <c r="A14" s="85" t="s">
        <v>760</v>
      </c>
      <c r="B14" s="85" t="s">
        <v>760</v>
      </c>
      <c r="C14" s="81">
        <f>F14 + SUMIF(Purchase!C:C,Stock!B14,Purchase!D:D)-SUMIF(Sale!C:C,Stock!B14,Sale!D:D)</f>
        <v>200</v>
      </c>
      <c r="D14" s="82" t="str">
        <f t="shared" si="1"/>
        <v>In Stock</v>
      </c>
      <c r="E14" s="86">
        <v>1.0</v>
      </c>
      <c r="F14" s="86">
        <v>200.0</v>
      </c>
      <c r="G14" s="83">
        <v>0.0</v>
      </c>
      <c r="H14" s="84">
        <f t="shared" si="2"/>
        <v>0</v>
      </c>
    </row>
    <row r="15">
      <c r="A15" s="85" t="s">
        <v>761</v>
      </c>
      <c r="B15" s="85" t="s">
        <v>761</v>
      </c>
      <c r="C15" s="81">
        <f>F15 + SUMIF(Purchase!C:C,Stock!B15,Purchase!D:D)-SUMIF(Sale!C:C,Stock!B15,Sale!D:D)</f>
        <v>200</v>
      </c>
      <c r="D15" s="82" t="str">
        <f t="shared" si="1"/>
        <v>In Stock</v>
      </c>
      <c r="E15" s="86">
        <v>1.0</v>
      </c>
      <c r="F15" s="86">
        <v>200.0</v>
      </c>
      <c r="G15" s="83">
        <v>0.0</v>
      </c>
      <c r="H15" s="84">
        <f t="shared" si="2"/>
        <v>0</v>
      </c>
    </row>
    <row r="16">
      <c r="A16" s="85" t="s">
        <v>762</v>
      </c>
      <c r="B16" s="85" t="s">
        <v>762</v>
      </c>
      <c r="C16" s="81">
        <f>F16 + SUMIF(Purchase!C:C,Stock!B16,Purchase!D:D)-SUMIF(Sale!C:C,Stock!B16,Sale!D:D)</f>
        <v>200</v>
      </c>
      <c r="D16" s="82" t="str">
        <f t="shared" si="1"/>
        <v>In Stock</v>
      </c>
      <c r="E16" s="86">
        <v>1.0</v>
      </c>
      <c r="F16" s="86">
        <v>200.0</v>
      </c>
      <c r="G16" s="83">
        <v>0.0</v>
      </c>
      <c r="H16" s="84">
        <f t="shared" si="2"/>
        <v>0</v>
      </c>
    </row>
    <row r="17">
      <c r="A17" s="85" t="s">
        <v>763</v>
      </c>
      <c r="B17" s="85" t="s">
        <v>763</v>
      </c>
      <c r="C17" s="81">
        <f>F17 + SUMIF(Purchase!C:C,Stock!B17,Purchase!D:D)-SUMIF(Sale!C:C,Stock!B17,Sale!D:D)</f>
        <v>210</v>
      </c>
      <c r="D17" s="82" t="str">
        <f t="shared" si="1"/>
        <v>In Stock</v>
      </c>
      <c r="E17" s="86">
        <v>1.0</v>
      </c>
      <c r="F17" s="86">
        <v>210.0</v>
      </c>
      <c r="G17" s="83">
        <v>0.0</v>
      </c>
      <c r="H17" s="84">
        <f t="shared" si="2"/>
        <v>0</v>
      </c>
    </row>
    <row r="18">
      <c r="A18" s="85" t="s">
        <v>764</v>
      </c>
      <c r="B18" s="85" t="s">
        <v>764</v>
      </c>
      <c r="C18" s="81">
        <f>F18 + SUMIF(Purchase!C:C,Stock!B18,Purchase!D:D)-SUMIF(Sale!C:C,Stock!B18,Sale!D:D)</f>
        <v>200</v>
      </c>
      <c r="D18" s="82" t="str">
        <f t="shared" si="1"/>
        <v>In Stock</v>
      </c>
      <c r="E18" s="86">
        <v>1.0</v>
      </c>
      <c r="F18" s="86">
        <v>200.0</v>
      </c>
      <c r="G18" s="83">
        <v>0.0</v>
      </c>
      <c r="H18" s="84">
        <f t="shared" si="2"/>
        <v>0</v>
      </c>
    </row>
    <row r="19">
      <c r="A19" s="85" t="s">
        <v>766</v>
      </c>
      <c r="B19" s="85" t="s">
        <v>766</v>
      </c>
      <c r="C19" s="81">
        <f>F19 + SUMIF(Purchase!C:C,Stock!B19,Purchase!D:D)-SUMIF(Sale!C:C,Stock!B19,Sale!D:D)</f>
        <v>200</v>
      </c>
      <c r="D19" s="82" t="str">
        <f t="shared" si="1"/>
        <v>In Stock</v>
      </c>
      <c r="E19" s="86">
        <v>1.0</v>
      </c>
      <c r="F19" s="86">
        <v>200.0</v>
      </c>
      <c r="G19" s="83">
        <v>0.0</v>
      </c>
      <c r="H19" s="84">
        <f t="shared" si="2"/>
        <v>0</v>
      </c>
    </row>
    <row r="20">
      <c r="A20" s="85" t="s">
        <v>767</v>
      </c>
      <c r="B20" s="85" t="s">
        <v>767</v>
      </c>
      <c r="C20" s="81">
        <f>F20 + SUMIF(Purchase!C:C,Stock!B20,Purchase!D:D)-SUMIF(Sale!C:C,Stock!B20,Sale!D:D)</f>
        <v>200</v>
      </c>
      <c r="D20" s="82" t="str">
        <f t="shared" si="1"/>
        <v>In Stock</v>
      </c>
      <c r="E20" s="86">
        <v>1.0</v>
      </c>
      <c r="F20" s="86">
        <v>200.0</v>
      </c>
      <c r="G20" s="83">
        <v>0.0</v>
      </c>
      <c r="H20" s="84">
        <f t="shared" si="2"/>
        <v>0</v>
      </c>
    </row>
    <row r="21">
      <c r="A21" s="85" t="s">
        <v>769</v>
      </c>
      <c r="B21" s="85" t="s">
        <v>769</v>
      </c>
      <c r="C21" s="81">
        <f>F21 + SUMIF(Purchase!C:C,Stock!B21,Purchase!D:D)-SUMIF(Sale!C:C,Stock!B21,Sale!D:D)</f>
        <v>190</v>
      </c>
      <c r="D21" s="82" t="str">
        <f t="shared" si="1"/>
        <v>In Stock</v>
      </c>
      <c r="E21" s="86">
        <v>1.0</v>
      </c>
      <c r="F21" s="86">
        <v>190.0</v>
      </c>
      <c r="G21" s="83">
        <v>0.0</v>
      </c>
      <c r="H21" s="84">
        <f t="shared" si="2"/>
        <v>0</v>
      </c>
    </row>
    <row r="22">
      <c r="A22" s="85" t="s">
        <v>770</v>
      </c>
      <c r="B22" s="85" t="s">
        <v>770</v>
      </c>
      <c r="C22" s="81">
        <f>F22 + SUMIF(Purchase!C:C,Stock!B22,Purchase!D:D)-SUMIF(Sale!C:C,Stock!B22,Sale!D:D)</f>
        <v>190</v>
      </c>
      <c r="D22" s="82" t="str">
        <f t="shared" si="1"/>
        <v>In Stock</v>
      </c>
      <c r="E22" s="86">
        <v>1.0</v>
      </c>
      <c r="F22" s="86">
        <v>190.0</v>
      </c>
      <c r="G22" s="83">
        <v>0.0</v>
      </c>
      <c r="H22" s="84">
        <f t="shared" si="2"/>
        <v>0</v>
      </c>
      <c r="I22" s="59" t="s">
        <v>772</v>
      </c>
    </row>
    <row r="23">
      <c r="A23" s="85" t="s">
        <v>773</v>
      </c>
      <c r="B23" s="85" t="s">
        <v>773</v>
      </c>
      <c r="C23" s="81">
        <f>F23 + SUMIF(Purchase!C:C,Stock!B23,Purchase!D:D)-SUMIF(Sale!C:C,Stock!B23,Sale!D:D)</f>
        <v>200</v>
      </c>
      <c r="D23" s="82" t="str">
        <f t="shared" si="1"/>
        <v>In Stock</v>
      </c>
      <c r="E23" s="86">
        <v>1.0</v>
      </c>
      <c r="F23" s="86">
        <v>200.0</v>
      </c>
      <c r="G23" s="83">
        <v>0.0</v>
      </c>
      <c r="H23" s="84">
        <f t="shared" si="2"/>
        <v>0</v>
      </c>
      <c r="I23" s="59" t="s">
        <v>772</v>
      </c>
    </row>
    <row r="24">
      <c r="A24" s="85" t="s">
        <v>775</v>
      </c>
      <c r="B24" s="85" t="s">
        <v>775</v>
      </c>
      <c r="C24" s="81">
        <f>F24 + SUMIF(Purchase!C:C,Stock!B24,Purchase!D:D)-SUMIF(Sale!C:C,Stock!B24,Sale!D:D)</f>
        <v>200</v>
      </c>
      <c r="D24" s="82" t="str">
        <f t="shared" si="1"/>
        <v>In Stock</v>
      </c>
      <c r="E24" s="86">
        <v>1.0</v>
      </c>
      <c r="F24" s="86">
        <v>200.0</v>
      </c>
      <c r="G24" s="83">
        <v>0.0</v>
      </c>
      <c r="H24" s="84">
        <f t="shared" si="2"/>
        <v>0</v>
      </c>
      <c r="I24" s="59" t="s">
        <v>772</v>
      </c>
    </row>
    <row r="25">
      <c r="A25" s="85" t="s">
        <v>776</v>
      </c>
      <c r="B25" s="85" t="s">
        <v>776</v>
      </c>
      <c r="C25" s="81">
        <f>F25 + SUMIF(Purchase!C:C,Stock!B25,Purchase!D:D)-SUMIF(Sale!C:C,Stock!B25,Sale!D:D)</f>
        <v>210</v>
      </c>
      <c r="D25" s="82" t="str">
        <f t="shared" si="1"/>
        <v>In Stock</v>
      </c>
      <c r="E25" s="86">
        <v>1.0</v>
      </c>
      <c r="F25" s="86">
        <v>210.0</v>
      </c>
      <c r="G25" s="83">
        <v>0.0</v>
      </c>
      <c r="H25" s="84">
        <f t="shared" si="2"/>
        <v>0</v>
      </c>
      <c r="I25" s="59" t="s">
        <v>772</v>
      </c>
    </row>
    <row r="26">
      <c r="A26" s="85" t="s">
        <v>778</v>
      </c>
      <c r="B26" s="85" t="s">
        <v>778</v>
      </c>
      <c r="C26" s="81">
        <f>F26 + SUMIF(Purchase!C:C,Stock!B26,Purchase!D:D)-SUMIF(Sale!C:C,Stock!B26,Sale!D:D)</f>
        <v>190</v>
      </c>
      <c r="D26" s="82" t="str">
        <f t="shared" si="1"/>
        <v>In Stock</v>
      </c>
      <c r="E26" s="86">
        <v>1.0</v>
      </c>
      <c r="F26" s="86">
        <v>190.0</v>
      </c>
      <c r="G26" s="83">
        <v>0.0</v>
      </c>
      <c r="H26" s="84">
        <f t="shared" si="2"/>
        <v>0</v>
      </c>
      <c r="I26" s="59" t="s">
        <v>772</v>
      </c>
    </row>
    <row r="27">
      <c r="A27" s="85" t="s">
        <v>779</v>
      </c>
      <c r="B27" s="85" t="s">
        <v>779</v>
      </c>
      <c r="C27" s="81">
        <f>F27 + SUMIF(Purchase!C:C,Stock!B27,Purchase!D:D)-SUMIF(Sale!C:C,Stock!B27,Sale!D:D)</f>
        <v>210</v>
      </c>
      <c r="D27" s="82" t="str">
        <f t="shared" si="1"/>
        <v>In Stock</v>
      </c>
      <c r="E27" s="86">
        <v>1.0</v>
      </c>
      <c r="F27" s="86">
        <v>210.0</v>
      </c>
      <c r="G27" s="83">
        <v>0.0</v>
      </c>
      <c r="H27" s="84">
        <f t="shared" si="2"/>
        <v>0</v>
      </c>
      <c r="I27" s="59" t="s">
        <v>772</v>
      </c>
    </row>
    <row r="28">
      <c r="A28" s="85" t="s">
        <v>781</v>
      </c>
      <c r="B28" s="85" t="s">
        <v>781</v>
      </c>
      <c r="C28" s="81">
        <f>F28 + SUMIF(Purchase!C:C,Stock!B28,Purchase!D:D)-SUMIF(Sale!C:C,Stock!B28,Sale!D:D)</f>
        <v>200</v>
      </c>
      <c r="D28" s="82" t="str">
        <f t="shared" si="1"/>
        <v>In Stock</v>
      </c>
      <c r="E28" s="86">
        <v>1.0</v>
      </c>
      <c r="F28" s="86">
        <v>200.0</v>
      </c>
      <c r="G28" s="83">
        <v>0.0</v>
      </c>
      <c r="H28" s="84">
        <f t="shared" si="2"/>
        <v>0</v>
      </c>
      <c r="I28" s="59" t="s">
        <v>772</v>
      </c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</row>
    <row r="29">
      <c r="A29" s="85" t="s">
        <v>783</v>
      </c>
      <c r="B29" s="85" t="s">
        <v>783</v>
      </c>
      <c r="C29" s="81">
        <f>F29 + SUMIF(Purchase!C:C,Stock!B29,Purchase!D:D)-SUMIF(Sale!C:C,Stock!B29,Sale!D:D)</f>
        <v>200</v>
      </c>
      <c r="D29" s="82" t="str">
        <f t="shared" si="1"/>
        <v>In Stock</v>
      </c>
      <c r="E29" s="86">
        <v>1.0</v>
      </c>
      <c r="F29" s="86">
        <v>200.0</v>
      </c>
      <c r="G29" s="83">
        <v>0.0</v>
      </c>
      <c r="H29" s="84">
        <f t="shared" si="2"/>
        <v>0</v>
      </c>
      <c r="I29" s="59" t="s">
        <v>772</v>
      </c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</row>
    <row r="30">
      <c r="A30" s="85" t="s">
        <v>784</v>
      </c>
      <c r="B30" s="85" t="s">
        <v>784</v>
      </c>
      <c r="C30" s="81">
        <f>F30 + SUMIF(Purchase!C:C,Stock!B30,Purchase!D:D)-SUMIF(Sale!C:C,Stock!B30,Sale!D:D)</f>
        <v>200</v>
      </c>
      <c r="D30" s="82" t="str">
        <f t="shared" si="1"/>
        <v>In Stock</v>
      </c>
      <c r="E30" s="86">
        <v>1.0</v>
      </c>
      <c r="F30" s="86">
        <v>200.0</v>
      </c>
      <c r="G30" s="83">
        <v>0.0</v>
      </c>
      <c r="H30" s="84">
        <f t="shared" si="2"/>
        <v>0</v>
      </c>
      <c r="I30" s="59" t="s">
        <v>772</v>
      </c>
    </row>
    <row r="31">
      <c r="A31" s="85" t="s">
        <v>787</v>
      </c>
      <c r="B31" s="85" t="s">
        <v>787</v>
      </c>
      <c r="C31" s="81">
        <f>F31 + SUMIF(Purchase!C:C,Stock!B31,Purchase!D:D)-SUMIF(Sale!C:C,Stock!B31,Sale!D:D)</f>
        <v>190</v>
      </c>
      <c r="D31" s="82" t="str">
        <f t="shared" si="1"/>
        <v>In Stock</v>
      </c>
      <c r="E31" s="86">
        <v>1.0</v>
      </c>
      <c r="F31" s="86">
        <v>190.0</v>
      </c>
      <c r="G31" s="83">
        <v>0.0</v>
      </c>
      <c r="H31" s="84">
        <f t="shared" si="2"/>
        <v>0</v>
      </c>
      <c r="I31" s="59" t="s">
        <v>772</v>
      </c>
    </row>
    <row r="32">
      <c r="A32" s="85" t="s">
        <v>788</v>
      </c>
      <c r="B32" s="85" t="s">
        <v>788</v>
      </c>
      <c r="C32" s="81">
        <f>F32 + SUMIF(Purchase!C:C,Stock!B32,Purchase!D:D)-SUMIF(Sale!C:C,Stock!B32,Sale!D:D)</f>
        <v>200</v>
      </c>
      <c r="D32" s="82" t="str">
        <f t="shared" si="1"/>
        <v>In Stock</v>
      </c>
      <c r="E32" s="86">
        <v>1.0</v>
      </c>
      <c r="F32" s="86">
        <v>200.0</v>
      </c>
      <c r="G32" s="83">
        <v>0.0</v>
      </c>
      <c r="H32" s="84">
        <f t="shared" si="2"/>
        <v>0</v>
      </c>
    </row>
    <row r="33">
      <c r="A33" s="85" t="s">
        <v>789</v>
      </c>
      <c r="B33" s="85" t="s">
        <v>789</v>
      </c>
      <c r="C33" s="81">
        <f>F33 + SUMIF(Purchase!C:C,Stock!B33,Purchase!D:D)-SUMIF(Sale!C:C,Stock!B33,Sale!D:D)</f>
        <v>200</v>
      </c>
      <c r="D33" s="82" t="str">
        <f t="shared" si="1"/>
        <v>In Stock</v>
      </c>
      <c r="E33" s="86">
        <v>1.0</v>
      </c>
      <c r="F33" s="86">
        <v>200.0</v>
      </c>
      <c r="G33" s="83">
        <v>0.0</v>
      </c>
      <c r="H33" s="84">
        <f t="shared" si="2"/>
        <v>0</v>
      </c>
    </row>
    <row r="34">
      <c r="A34" s="85" t="s">
        <v>790</v>
      </c>
      <c r="B34" s="85" t="s">
        <v>790</v>
      </c>
      <c r="C34" s="81">
        <f>F34 + SUMIF(Purchase!C:C,Stock!B34,Purchase!D:D)-SUMIF(Sale!C:C,Stock!B34,Sale!D:D)</f>
        <v>200</v>
      </c>
      <c r="D34" s="82" t="str">
        <f t="shared" si="1"/>
        <v>In Stock</v>
      </c>
      <c r="E34" s="86">
        <v>1.0</v>
      </c>
      <c r="F34" s="86">
        <v>200.0</v>
      </c>
      <c r="G34" s="83">
        <v>0.0</v>
      </c>
      <c r="H34" s="84">
        <f t="shared" si="2"/>
        <v>0</v>
      </c>
    </row>
    <row r="35">
      <c r="A35" s="85" t="s">
        <v>792</v>
      </c>
      <c r="B35" s="85" t="s">
        <v>792</v>
      </c>
      <c r="C35" s="81">
        <f>F35 + SUMIF(Purchase!C:C,Stock!B35,Purchase!D:D)-SUMIF(Sale!C:C,Stock!B35,Sale!D:D)</f>
        <v>200</v>
      </c>
      <c r="D35" s="82" t="str">
        <f t="shared" si="1"/>
        <v>In Stock</v>
      </c>
      <c r="E35" s="86">
        <v>1.0</v>
      </c>
      <c r="F35" s="86">
        <v>200.0</v>
      </c>
      <c r="G35" s="83">
        <v>0.0</v>
      </c>
      <c r="H35" s="84">
        <f t="shared" si="2"/>
        <v>0</v>
      </c>
    </row>
    <row r="36">
      <c r="A36" s="85" t="s">
        <v>793</v>
      </c>
      <c r="B36" s="85" t="s">
        <v>793</v>
      </c>
      <c r="C36" s="81">
        <f>F36 + SUMIF(Purchase!C:C,Stock!B36,Purchase!D:D)-SUMIF(Sale!C:C,Stock!B36,Sale!D:D)</f>
        <v>200</v>
      </c>
      <c r="D36" s="82" t="str">
        <f t="shared" si="1"/>
        <v>In Stock</v>
      </c>
      <c r="E36" s="86">
        <v>1.0</v>
      </c>
      <c r="F36" s="86">
        <v>200.0</v>
      </c>
      <c r="G36" s="83">
        <v>0.0</v>
      </c>
      <c r="H36" s="84">
        <f t="shared" si="2"/>
        <v>0</v>
      </c>
    </row>
    <row r="37">
      <c r="A37" s="85" t="s">
        <v>795</v>
      </c>
      <c r="B37" s="85" t="s">
        <v>795</v>
      </c>
      <c r="C37" s="81">
        <f>F37 + SUMIF(Purchase!C:C,Stock!B37,Purchase!D:D)-SUMIF(Sale!C:C,Stock!B37,Sale!D:D)</f>
        <v>200</v>
      </c>
      <c r="D37" s="82" t="str">
        <f t="shared" si="1"/>
        <v>In Stock</v>
      </c>
      <c r="E37" s="86">
        <v>1.0</v>
      </c>
      <c r="F37" s="86">
        <v>200.0</v>
      </c>
      <c r="G37" s="83">
        <v>0.0</v>
      </c>
      <c r="H37" s="84">
        <f t="shared" si="2"/>
        <v>0</v>
      </c>
    </row>
    <row r="38">
      <c r="A38" s="85" t="s">
        <v>796</v>
      </c>
      <c r="B38" s="85" t="s">
        <v>796</v>
      </c>
      <c r="C38" s="81">
        <f>F38 + SUMIF(Purchase!C:C,Stock!B38,Purchase!D:D)-SUMIF(Sale!C:C,Stock!B38,Sale!D:D)</f>
        <v>150</v>
      </c>
      <c r="D38" s="82" t="str">
        <f t="shared" si="1"/>
        <v>In Stock</v>
      </c>
      <c r="E38" s="86">
        <v>1.0</v>
      </c>
      <c r="F38" s="86">
        <v>150.0</v>
      </c>
      <c r="G38" s="83">
        <v>0.0</v>
      </c>
      <c r="H38" s="84">
        <f t="shared" si="2"/>
        <v>0</v>
      </c>
    </row>
    <row r="39">
      <c r="A39" s="85" t="s">
        <v>797</v>
      </c>
      <c r="B39" s="85" t="s">
        <v>797</v>
      </c>
      <c r="C39" s="81">
        <f>F39 + SUMIF(Purchase!C:C,Stock!B39,Purchase!D:D)-SUMIF(Sale!C:C,Stock!B39,Sale!D:D)</f>
        <v>150</v>
      </c>
      <c r="D39" s="82" t="str">
        <f t="shared" si="1"/>
        <v>In Stock</v>
      </c>
      <c r="E39" s="86">
        <v>1.0</v>
      </c>
      <c r="F39" s="86">
        <v>150.0</v>
      </c>
      <c r="G39" s="83">
        <v>0.0</v>
      </c>
      <c r="H39" s="84">
        <f t="shared" si="2"/>
        <v>0</v>
      </c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</row>
    <row r="40">
      <c r="A40" s="85" t="s">
        <v>798</v>
      </c>
      <c r="B40" s="85" t="s">
        <v>798</v>
      </c>
      <c r="C40" s="81">
        <f>F40 + SUMIF(Purchase!C:C,Stock!B40,Purchase!D:D)-SUMIF(Sale!C:C,Stock!B40,Sale!D:D)</f>
        <v>150</v>
      </c>
      <c r="D40" s="82" t="str">
        <f t="shared" si="1"/>
        <v>In Stock</v>
      </c>
      <c r="E40" s="86">
        <v>1.0</v>
      </c>
      <c r="F40" s="86">
        <v>150.0</v>
      </c>
      <c r="G40" s="83">
        <v>0.0</v>
      </c>
      <c r="H40" s="84">
        <f t="shared" si="2"/>
        <v>0</v>
      </c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</row>
    <row r="41">
      <c r="A41" s="85" t="s">
        <v>800</v>
      </c>
      <c r="B41" s="85" t="s">
        <v>800</v>
      </c>
      <c r="C41" s="81">
        <f>F41 + SUMIF(Purchase!C:C,Stock!B41,Purchase!D:D)-SUMIF(Sale!C:C,Stock!B41,Sale!D:D)</f>
        <v>150</v>
      </c>
      <c r="D41" s="82" t="str">
        <f t="shared" si="1"/>
        <v>In Stock</v>
      </c>
      <c r="E41" s="86">
        <v>1.0</v>
      </c>
      <c r="F41" s="86">
        <v>150.0</v>
      </c>
      <c r="G41" s="83">
        <v>0.0</v>
      </c>
      <c r="H41" s="84">
        <f t="shared" si="2"/>
        <v>0</v>
      </c>
    </row>
    <row r="42">
      <c r="A42" s="85" t="s">
        <v>801</v>
      </c>
      <c r="B42" s="85" t="s">
        <v>801</v>
      </c>
      <c r="C42" s="81">
        <f>F42 + SUMIF(Purchase!C:C,Stock!B42,Purchase!D:D)-SUMIF(Sale!C:C,Stock!B42,Sale!D:D)</f>
        <v>150</v>
      </c>
      <c r="D42" s="82" t="str">
        <f t="shared" si="1"/>
        <v>In Stock</v>
      </c>
      <c r="E42" s="86">
        <v>1.0</v>
      </c>
      <c r="F42" s="86">
        <v>150.0</v>
      </c>
      <c r="G42" s="83">
        <v>0.0</v>
      </c>
      <c r="H42" s="84">
        <f t="shared" si="2"/>
        <v>0</v>
      </c>
    </row>
    <row r="43">
      <c r="A43" s="85" t="s">
        <v>803</v>
      </c>
      <c r="B43" s="85" t="s">
        <v>803</v>
      </c>
      <c r="C43" s="81">
        <f>F43 + SUMIF(Purchase!C:C,Stock!B43,Purchase!D:D)-SUMIF(Sale!C:C,Stock!B43,Sale!D:D)</f>
        <v>150</v>
      </c>
      <c r="D43" s="82" t="str">
        <f t="shared" si="1"/>
        <v>In Stock</v>
      </c>
      <c r="E43" s="86">
        <v>1.0</v>
      </c>
      <c r="F43" s="86">
        <v>150.0</v>
      </c>
      <c r="G43" s="83">
        <v>0.0</v>
      </c>
      <c r="H43" s="84">
        <f t="shared" si="2"/>
        <v>0</v>
      </c>
    </row>
    <row r="44">
      <c r="A44" s="85" t="s">
        <v>804</v>
      </c>
      <c r="B44" s="85" t="s">
        <v>804</v>
      </c>
      <c r="C44" s="81">
        <f>F44 + SUMIF(Purchase!C:C,Stock!B44,Purchase!D:D)-SUMIF(Sale!C:C,Stock!B44,Sale!D:D)</f>
        <v>150</v>
      </c>
      <c r="D44" s="82" t="str">
        <f t="shared" si="1"/>
        <v>In Stock</v>
      </c>
      <c r="E44" s="86">
        <v>1.0</v>
      </c>
      <c r="F44" s="86">
        <v>150.0</v>
      </c>
      <c r="G44" s="83">
        <v>0.0</v>
      </c>
      <c r="H44" s="84">
        <f t="shared" si="2"/>
        <v>0</v>
      </c>
    </row>
    <row r="45">
      <c r="A45" s="85" t="s">
        <v>805</v>
      </c>
      <c r="B45" s="85" t="s">
        <v>805</v>
      </c>
      <c r="C45" s="81">
        <f>F45 + SUMIF(Purchase!C:C,Stock!B45,Purchase!D:D)-SUMIF(Sale!C:C,Stock!B45,Sale!D:D)</f>
        <v>150</v>
      </c>
      <c r="D45" s="82" t="str">
        <f t="shared" si="1"/>
        <v>In Stock</v>
      </c>
      <c r="E45" s="86">
        <v>1.0</v>
      </c>
      <c r="F45" s="86">
        <v>150.0</v>
      </c>
      <c r="G45" s="83">
        <v>0.0</v>
      </c>
      <c r="H45" s="84">
        <f t="shared" si="2"/>
        <v>0</v>
      </c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</row>
    <row r="46">
      <c r="A46" s="85" t="s">
        <v>807</v>
      </c>
      <c r="B46" s="85" t="s">
        <v>807</v>
      </c>
      <c r="C46" s="81">
        <f>F46 + SUMIF(Purchase!C:C,Stock!B46,Purchase!D:D)-SUMIF(Sale!C:C,Stock!B46,Sale!D:D)</f>
        <v>150</v>
      </c>
      <c r="D46" s="82" t="str">
        <f t="shared" si="1"/>
        <v>In Stock</v>
      </c>
      <c r="E46" s="86">
        <v>1.0</v>
      </c>
      <c r="F46" s="86">
        <v>150.0</v>
      </c>
      <c r="G46" s="83">
        <v>0.0</v>
      </c>
      <c r="H46" s="84">
        <f t="shared" si="2"/>
        <v>0</v>
      </c>
    </row>
    <row r="47">
      <c r="A47" s="85" t="s">
        <v>808</v>
      </c>
      <c r="B47" s="85" t="s">
        <v>808</v>
      </c>
      <c r="C47" s="81">
        <f>F47 + SUMIF(Purchase!C:C,Stock!B47,Purchase!D:D)-SUMIF(Sale!C:C,Stock!B47,Sale!D:D)</f>
        <v>150</v>
      </c>
      <c r="D47" s="82" t="str">
        <f t="shared" si="1"/>
        <v>In Stock</v>
      </c>
      <c r="E47" s="86">
        <v>1.0</v>
      </c>
      <c r="F47" s="86">
        <v>150.0</v>
      </c>
      <c r="G47" s="83">
        <v>0.0</v>
      </c>
      <c r="H47" s="84">
        <f t="shared" si="2"/>
        <v>0</v>
      </c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</row>
    <row r="48">
      <c r="A48" s="85" t="s">
        <v>810</v>
      </c>
      <c r="B48" s="85" t="s">
        <v>810</v>
      </c>
      <c r="C48" s="81">
        <f>F48 + SUMIF(Purchase!C:C,Stock!B48,Purchase!D:D)-SUMIF(Sale!C:C,Stock!B48,Sale!D:D)</f>
        <v>150</v>
      </c>
      <c r="D48" s="82" t="str">
        <f t="shared" si="1"/>
        <v>In Stock</v>
      </c>
      <c r="E48" s="86">
        <v>1.0</v>
      </c>
      <c r="F48" s="86">
        <v>150.0</v>
      </c>
      <c r="G48" s="83">
        <v>0.0</v>
      </c>
      <c r="H48" s="84">
        <f t="shared" si="2"/>
        <v>0</v>
      </c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</row>
    <row r="49">
      <c r="A49" s="85" t="s">
        <v>811</v>
      </c>
      <c r="B49" s="85" t="s">
        <v>811</v>
      </c>
      <c r="C49" s="81">
        <f>F49 + SUMIF(Purchase!C:C,Stock!B49,Purchase!D:D)-SUMIF(Sale!C:C,Stock!B49,Sale!D:D)</f>
        <v>150</v>
      </c>
      <c r="D49" s="82" t="str">
        <f t="shared" si="1"/>
        <v>In Stock</v>
      </c>
      <c r="E49" s="86">
        <v>1.0</v>
      </c>
      <c r="F49" s="86">
        <v>150.0</v>
      </c>
      <c r="G49" s="83">
        <v>0.0</v>
      </c>
      <c r="H49" s="84">
        <f t="shared" si="2"/>
        <v>0</v>
      </c>
    </row>
    <row r="50">
      <c r="A50" s="85" t="s">
        <v>813</v>
      </c>
      <c r="B50" s="85" t="s">
        <v>813</v>
      </c>
      <c r="C50" s="81">
        <f>F50 + SUMIF(Purchase!C:C,Stock!B50,Purchase!D:D)-SUMIF(Sale!C:C,Stock!B50,Sale!D:D)</f>
        <v>150</v>
      </c>
      <c r="D50" s="82" t="str">
        <f t="shared" si="1"/>
        <v>In Stock</v>
      </c>
      <c r="E50" s="86">
        <v>1.0</v>
      </c>
      <c r="F50" s="86">
        <v>150.0</v>
      </c>
      <c r="G50" s="83">
        <v>0.0</v>
      </c>
      <c r="H50" s="84">
        <f t="shared" si="2"/>
        <v>0</v>
      </c>
    </row>
    <row r="51">
      <c r="A51" s="85" t="s">
        <v>814</v>
      </c>
      <c r="B51" s="85" t="s">
        <v>814</v>
      </c>
      <c r="C51" s="81">
        <f>F51 + SUMIF(Purchase!C:C,Stock!B51,Purchase!D:D)-SUMIF(Sale!C:C,Stock!B51,Sale!D:D)</f>
        <v>150</v>
      </c>
      <c r="D51" s="82" t="str">
        <f t="shared" si="1"/>
        <v>In Stock</v>
      </c>
      <c r="E51" s="86">
        <v>1.0</v>
      </c>
      <c r="F51" s="86">
        <v>150.0</v>
      </c>
      <c r="G51" s="83">
        <v>0.0</v>
      </c>
      <c r="H51" s="84">
        <f t="shared" si="2"/>
        <v>0</v>
      </c>
    </row>
    <row r="52">
      <c r="A52" s="85" t="s">
        <v>447</v>
      </c>
      <c r="B52" s="85" t="s">
        <v>447</v>
      </c>
      <c r="C52" s="81">
        <f>F52 + SUMIF(Purchase!C:C,Stock!B52,Purchase!D:D)-SUMIF(Sale!C:C,Stock!B52,Sale!D:D)</f>
        <v>66</v>
      </c>
      <c r="D52" s="82" t="str">
        <f t="shared" si="1"/>
        <v>In Stock</v>
      </c>
      <c r="E52" s="86">
        <v>1.0</v>
      </c>
      <c r="F52" s="86">
        <v>66.0</v>
      </c>
      <c r="G52" s="83">
        <v>0.0</v>
      </c>
      <c r="H52" s="84">
        <f t="shared" si="2"/>
        <v>0</v>
      </c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</row>
    <row r="53">
      <c r="A53" s="85" t="s">
        <v>816</v>
      </c>
      <c r="B53" s="85" t="s">
        <v>816</v>
      </c>
      <c r="C53" s="81">
        <f>F53 + SUMIF(Purchase!C:C,Stock!B53,Purchase!D:D)-SUMIF(Sale!C:C,Stock!B53,Sale!D:D)</f>
        <v>150</v>
      </c>
      <c r="D53" s="82" t="str">
        <f t="shared" si="1"/>
        <v>In Stock</v>
      </c>
      <c r="E53" s="86">
        <v>1.0</v>
      </c>
      <c r="F53" s="86">
        <v>150.0</v>
      </c>
      <c r="G53" s="83">
        <v>0.0</v>
      </c>
      <c r="H53" s="84">
        <f t="shared" si="2"/>
        <v>0</v>
      </c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</row>
    <row r="54">
      <c r="A54" s="85" t="s">
        <v>182</v>
      </c>
      <c r="B54" s="85" t="s">
        <v>182</v>
      </c>
      <c r="C54" s="81">
        <f>F54 + SUMIF(Purchase!C:C,Stock!B54,Purchase!D:D)-SUMIF(Sale!C:C,Stock!B54,Sale!D:D)</f>
        <v>30</v>
      </c>
      <c r="D54" s="82" t="str">
        <f t="shared" si="1"/>
        <v>In Stock</v>
      </c>
      <c r="E54" s="86">
        <v>1.0</v>
      </c>
      <c r="F54" s="86">
        <v>30.0</v>
      </c>
      <c r="G54" s="83">
        <v>0.0</v>
      </c>
      <c r="H54" s="84">
        <f t="shared" si="2"/>
        <v>0</v>
      </c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</row>
    <row r="55">
      <c r="A55" s="85" t="s">
        <v>167</v>
      </c>
      <c r="B55" s="85" t="s">
        <v>167</v>
      </c>
      <c r="C55" s="81">
        <f>F55 + SUMIF(Purchase!C:C,Stock!B55,Purchase!D:D)-SUMIF(Sale!C:C,Stock!B55,Sale!D:D)</f>
        <v>30</v>
      </c>
      <c r="D55" s="82" t="str">
        <f t="shared" si="1"/>
        <v>In Stock</v>
      </c>
      <c r="E55" s="86">
        <v>1.0</v>
      </c>
      <c r="F55" s="86">
        <v>30.0</v>
      </c>
      <c r="G55" s="83">
        <v>0.0</v>
      </c>
      <c r="H55" s="84">
        <f t="shared" si="2"/>
        <v>0</v>
      </c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</row>
    <row r="56">
      <c r="A56" s="85" t="s">
        <v>192</v>
      </c>
      <c r="B56" s="85" t="s">
        <v>192</v>
      </c>
      <c r="C56" s="81">
        <f>F56 + SUMIF(Purchase!C:C,Stock!B56,Purchase!D:D)-SUMIF(Sale!C:C,Stock!B56,Sale!D:D)</f>
        <v>30</v>
      </c>
      <c r="D56" s="82" t="str">
        <f t="shared" si="1"/>
        <v>In Stock</v>
      </c>
      <c r="E56" s="86">
        <v>1.0</v>
      </c>
      <c r="F56" s="86">
        <v>30.0</v>
      </c>
      <c r="G56" s="83">
        <v>0.0</v>
      </c>
      <c r="H56" s="84">
        <f t="shared" si="2"/>
        <v>0</v>
      </c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</row>
    <row r="57">
      <c r="A57" s="85" t="s">
        <v>183</v>
      </c>
      <c r="B57" s="85" t="s">
        <v>183</v>
      </c>
      <c r="C57" s="81">
        <f>F57 + SUMIF(Purchase!C:C,Stock!B57,Purchase!D:D)-SUMIF(Sale!C:C,Stock!B57,Sale!D:D)</f>
        <v>30</v>
      </c>
      <c r="D57" s="82" t="str">
        <f t="shared" si="1"/>
        <v>In Stock</v>
      </c>
      <c r="E57" s="86">
        <v>1.0</v>
      </c>
      <c r="F57" s="86">
        <v>30.0</v>
      </c>
      <c r="G57" s="83">
        <v>0.0</v>
      </c>
      <c r="H57" s="84">
        <f t="shared" si="2"/>
        <v>0</v>
      </c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</row>
    <row r="58">
      <c r="A58" s="85" t="s">
        <v>144</v>
      </c>
      <c r="B58" s="85" t="s">
        <v>144</v>
      </c>
      <c r="C58" s="81">
        <f>F58 + SUMIF(Purchase!C:C,Stock!B58,Purchase!D:D)-SUMIF(Sale!C:C,Stock!B58,Sale!D:D)</f>
        <v>30</v>
      </c>
      <c r="D58" s="82" t="str">
        <f t="shared" si="1"/>
        <v>In Stock</v>
      </c>
      <c r="E58" s="86">
        <v>1.0</v>
      </c>
      <c r="F58" s="86">
        <v>30.0</v>
      </c>
      <c r="G58" s="83">
        <v>0.0</v>
      </c>
      <c r="H58" s="84">
        <f t="shared" si="2"/>
        <v>0</v>
      </c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</row>
    <row r="59">
      <c r="A59" s="85" t="s">
        <v>818</v>
      </c>
      <c r="B59" s="85" t="s">
        <v>818</v>
      </c>
      <c r="C59" s="81">
        <f>F59 + SUMIF(Purchase!C:C,Stock!B59,Purchase!D:D)-SUMIF(Sale!C:C,Stock!B59,Sale!D:D)</f>
        <v>30</v>
      </c>
      <c r="D59" s="82" t="str">
        <f t="shared" si="1"/>
        <v>In Stock</v>
      </c>
      <c r="E59" s="86">
        <v>1.0</v>
      </c>
      <c r="F59" s="86">
        <v>30.0</v>
      </c>
      <c r="G59" s="83">
        <v>0.0</v>
      </c>
      <c r="H59" s="84">
        <f t="shared" si="2"/>
        <v>0</v>
      </c>
    </row>
    <row r="60">
      <c r="A60" s="85" t="s">
        <v>185</v>
      </c>
      <c r="B60" s="85" t="s">
        <v>185</v>
      </c>
      <c r="C60" s="81">
        <f>F60 + SUMIF(Purchase!C:C,Stock!B60,Purchase!D:D)-SUMIF(Sale!C:C,Stock!B60,Sale!D:D)</f>
        <v>30</v>
      </c>
      <c r="D60" s="82" t="str">
        <f t="shared" si="1"/>
        <v>In Stock</v>
      </c>
      <c r="E60" s="86">
        <v>1.0</v>
      </c>
      <c r="F60" s="86">
        <v>30.0</v>
      </c>
      <c r="G60" s="83">
        <v>0.0</v>
      </c>
      <c r="H60" s="84">
        <f t="shared" si="2"/>
        <v>0</v>
      </c>
    </row>
    <row r="61">
      <c r="A61" s="85" t="s">
        <v>170</v>
      </c>
      <c r="B61" s="85" t="s">
        <v>170</v>
      </c>
      <c r="C61" s="81">
        <f>F61 + SUMIF(Purchase!C:C,Stock!B61,Purchase!D:D)-SUMIF(Sale!C:C,Stock!B61,Sale!D:D)</f>
        <v>30</v>
      </c>
      <c r="D61" s="82" t="str">
        <f t="shared" si="1"/>
        <v>In Stock</v>
      </c>
      <c r="E61" s="86">
        <v>1.0</v>
      </c>
      <c r="F61" s="86">
        <v>30.0</v>
      </c>
      <c r="G61" s="83">
        <v>0.0</v>
      </c>
      <c r="H61" s="84">
        <f t="shared" si="2"/>
        <v>0</v>
      </c>
    </row>
    <row r="62">
      <c r="A62" s="85" t="s">
        <v>819</v>
      </c>
      <c r="B62" s="85" t="s">
        <v>819</v>
      </c>
      <c r="C62" s="81">
        <f>F62 + SUMIF(Purchase!C:C,Stock!B62,Purchase!D:D)-SUMIF(Sale!C:C,Stock!B62,Sale!D:D)</f>
        <v>30</v>
      </c>
      <c r="D62" s="82" t="str">
        <f t="shared" si="1"/>
        <v>In Stock</v>
      </c>
      <c r="E62" s="86">
        <v>1.0</v>
      </c>
      <c r="F62" s="86">
        <v>30.0</v>
      </c>
      <c r="G62" s="83">
        <v>0.0</v>
      </c>
      <c r="H62" s="84">
        <f t="shared" si="2"/>
        <v>0</v>
      </c>
    </row>
    <row r="63">
      <c r="A63" s="85" t="s">
        <v>820</v>
      </c>
      <c r="B63" s="85" t="s">
        <v>820</v>
      </c>
      <c r="C63" s="81">
        <f>F63 + SUMIF(Purchase!C:C,Stock!B63,Purchase!D:D)-SUMIF(Sale!C:C,Stock!B63,Sale!D:D)</f>
        <v>30</v>
      </c>
      <c r="D63" s="82" t="str">
        <f t="shared" si="1"/>
        <v>In Stock</v>
      </c>
      <c r="E63" s="86">
        <v>1.0</v>
      </c>
      <c r="F63" s="86">
        <v>30.0</v>
      </c>
      <c r="G63" s="83">
        <v>0.0</v>
      </c>
      <c r="H63" s="84">
        <f t="shared" si="2"/>
        <v>0</v>
      </c>
    </row>
    <row r="64">
      <c r="A64" s="85" t="s">
        <v>186</v>
      </c>
      <c r="B64" s="85" t="s">
        <v>186</v>
      </c>
      <c r="C64" s="81">
        <f>F64 + SUMIF(Purchase!C:C,Stock!B64,Purchase!D:D)-SUMIF(Sale!C:C,Stock!B64,Sale!D:D)</f>
        <v>30</v>
      </c>
      <c r="D64" s="82" t="str">
        <f t="shared" si="1"/>
        <v>In Stock</v>
      </c>
      <c r="E64" s="86">
        <v>1.0</v>
      </c>
      <c r="F64" s="86">
        <v>30.0</v>
      </c>
      <c r="G64" s="83">
        <v>0.0</v>
      </c>
      <c r="H64" s="84">
        <f t="shared" si="2"/>
        <v>0</v>
      </c>
    </row>
    <row r="65">
      <c r="A65" s="85" t="s">
        <v>823</v>
      </c>
      <c r="B65" s="85" t="s">
        <v>823</v>
      </c>
      <c r="C65" s="81">
        <f>F65 + SUMIF(Purchase!C:C,Stock!B65,Purchase!D:D)-SUMIF(Sale!C:C,Stock!B65,Sale!D:D)</f>
        <v>30</v>
      </c>
      <c r="D65" s="82" t="str">
        <f t="shared" si="1"/>
        <v>In Stock</v>
      </c>
      <c r="E65" s="86">
        <v>1.0</v>
      </c>
      <c r="F65" s="86">
        <v>30.0</v>
      </c>
      <c r="G65" s="83">
        <v>0.0</v>
      </c>
      <c r="H65" s="84">
        <f t="shared" si="2"/>
        <v>0</v>
      </c>
    </row>
    <row r="66">
      <c r="A66" s="85" t="s">
        <v>193</v>
      </c>
      <c r="B66" s="85" t="s">
        <v>193</v>
      </c>
      <c r="C66" s="81">
        <f>F66 + SUMIF(Purchase!C:C,Stock!B66,Purchase!D:D)-SUMIF(Sale!C:C,Stock!B66,Sale!D:D)</f>
        <v>30</v>
      </c>
      <c r="D66" s="82" t="str">
        <f t="shared" si="1"/>
        <v>In Stock</v>
      </c>
      <c r="E66" s="86">
        <v>1.0</v>
      </c>
      <c r="F66" s="86">
        <v>30.0</v>
      </c>
      <c r="G66" s="83">
        <v>0.0</v>
      </c>
      <c r="H66" s="84">
        <f t="shared" si="2"/>
        <v>0</v>
      </c>
    </row>
    <row r="67">
      <c r="A67" s="85" t="s">
        <v>200</v>
      </c>
      <c r="B67" s="85" t="s">
        <v>200</v>
      </c>
      <c r="C67" s="81">
        <f>F67 + SUMIF(Purchase!C:C,Stock!B67,Purchase!D:D)-SUMIF(Sale!C:C,Stock!B67,Sale!D:D)</f>
        <v>30</v>
      </c>
      <c r="D67" s="82" t="str">
        <f t="shared" si="1"/>
        <v>In Stock</v>
      </c>
      <c r="E67" s="86">
        <v>1.0</v>
      </c>
      <c r="F67" s="86">
        <v>30.0</v>
      </c>
      <c r="G67" s="83">
        <v>0.0</v>
      </c>
      <c r="H67" s="84">
        <f t="shared" si="2"/>
        <v>0</v>
      </c>
    </row>
    <row r="68">
      <c r="A68" s="85" t="s">
        <v>187</v>
      </c>
      <c r="B68" s="85" t="s">
        <v>187</v>
      </c>
      <c r="C68" s="81">
        <f>F68 + SUMIF(Purchase!C:C,Stock!B68,Purchase!D:D)-SUMIF(Sale!C:C,Stock!B68,Sale!D:D)</f>
        <v>30</v>
      </c>
      <c r="D68" s="82" t="str">
        <f t="shared" si="1"/>
        <v>In Stock</v>
      </c>
      <c r="E68" s="86">
        <v>1.0</v>
      </c>
      <c r="F68" s="86">
        <v>30.0</v>
      </c>
      <c r="G68" s="83">
        <v>0.0</v>
      </c>
      <c r="H68" s="84">
        <f t="shared" si="2"/>
        <v>0</v>
      </c>
    </row>
    <row r="69">
      <c r="A69" s="85" t="s">
        <v>171</v>
      </c>
      <c r="B69" s="85" t="s">
        <v>171</v>
      </c>
      <c r="C69" s="81">
        <f>F69 + SUMIF(Purchase!C:C,Stock!B69,Purchase!D:D)-SUMIF(Sale!C:C,Stock!B69,Sale!D:D)</f>
        <v>30</v>
      </c>
      <c r="D69" s="82" t="str">
        <f t="shared" si="1"/>
        <v>In Stock</v>
      </c>
      <c r="E69" s="86">
        <v>1.0</v>
      </c>
      <c r="F69" s="86">
        <v>30.0</v>
      </c>
      <c r="G69" s="83">
        <v>0.0</v>
      </c>
      <c r="H69" s="84">
        <f t="shared" si="2"/>
        <v>0</v>
      </c>
    </row>
    <row r="70">
      <c r="A70" s="85" t="s">
        <v>826</v>
      </c>
      <c r="B70" s="85" t="s">
        <v>826</v>
      </c>
      <c r="C70" s="81">
        <f>F70 + SUMIF(Purchase!C:C,Stock!B70,Purchase!D:D)-SUMIF(Sale!C:C,Stock!B70,Sale!D:D)</f>
        <v>30</v>
      </c>
      <c r="D70" s="82" t="str">
        <f t="shared" si="1"/>
        <v>In Stock</v>
      </c>
      <c r="E70" s="86">
        <v>1.0</v>
      </c>
      <c r="F70" s="86">
        <v>30.0</v>
      </c>
      <c r="G70" s="83">
        <v>0.0</v>
      </c>
      <c r="H70" s="84">
        <f t="shared" si="2"/>
        <v>0</v>
      </c>
    </row>
    <row r="71">
      <c r="A71" s="85" t="s">
        <v>828</v>
      </c>
      <c r="B71" s="85" t="s">
        <v>828</v>
      </c>
      <c r="C71" s="81">
        <f>F71 + SUMIF(Purchase!C:C,Stock!B71,Purchase!D:D)-SUMIF(Sale!C:C,Stock!B71,Sale!D:D)</f>
        <v>30</v>
      </c>
      <c r="D71" s="82" t="str">
        <f t="shared" si="1"/>
        <v>In Stock</v>
      </c>
      <c r="E71" s="86">
        <v>1.0</v>
      </c>
      <c r="F71" s="86">
        <v>30.0</v>
      </c>
      <c r="G71" s="83">
        <v>0.0</v>
      </c>
      <c r="H71" s="84">
        <f t="shared" si="2"/>
        <v>0</v>
      </c>
    </row>
    <row r="72">
      <c r="A72" s="85" t="s">
        <v>188</v>
      </c>
      <c r="B72" s="85" t="s">
        <v>188</v>
      </c>
      <c r="C72" s="81">
        <f>F72 + SUMIF(Purchase!C:C,Stock!B72,Purchase!D:D)-SUMIF(Sale!C:C,Stock!B72,Sale!D:D)</f>
        <v>30</v>
      </c>
      <c r="D72" s="82" t="str">
        <f t="shared" si="1"/>
        <v>In Stock</v>
      </c>
      <c r="E72" s="86">
        <v>1.0</v>
      </c>
      <c r="F72" s="86">
        <v>30.0</v>
      </c>
      <c r="G72" s="83">
        <v>0.0</v>
      </c>
      <c r="H72" s="84">
        <f t="shared" si="2"/>
        <v>0</v>
      </c>
    </row>
    <row r="73">
      <c r="A73" s="85" t="s">
        <v>830</v>
      </c>
      <c r="B73" s="85" t="s">
        <v>830</v>
      </c>
      <c r="C73" s="81">
        <f>F73 + SUMIF(Purchase!C:C,Stock!B73,Purchase!D:D)-SUMIF(Sale!C:C,Stock!B73,Sale!D:D)</f>
        <v>30</v>
      </c>
      <c r="D73" s="82" t="str">
        <f t="shared" si="1"/>
        <v>In Stock</v>
      </c>
      <c r="E73" s="86">
        <v>1.0</v>
      </c>
      <c r="F73" s="86">
        <v>30.0</v>
      </c>
      <c r="G73" s="83">
        <v>0.0</v>
      </c>
      <c r="H73" s="84">
        <f t="shared" si="2"/>
        <v>0</v>
      </c>
    </row>
    <row r="74">
      <c r="A74" s="85" t="s">
        <v>831</v>
      </c>
      <c r="B74" s="85" t="s">
        <v>831</v>
      </c>
      <c r="C74" s="81">
        <f>F74 + SUMIF(Purchase!C:C,Stock!B74,Purchase!D:D)-SUMIF(Sale!C:C,Stock!B74,Sale!D:D)</f>
        <v>30</v>
      </c>
      <c r="D74" s="82" t="str">
        <f t="shared" si="1"/>
        <v>In Stock</v>
      </c>
      <c r="E74" s="86">
        <v>1.0</v>
      </c>
      <c r="F74" s="86">
        <v>30.0</v>
      </c>
      <c r="G74" s="83">
        <v>0.0</v>
      </c>
      <c r="H74" s="84">
        <f t="shared" si="2"/>
        <v>0</v>
      </c>
    </row>
    <row r="75">
      <c r="A75" s="85" t="s">
        <v>833</v>
      </c>
      <c r="B75" s="85" t="s">
        <v>833</v>
      </c>
      <c r="C75" s="81">
        <f>F75 + SUMIF(Purchase!C:C,Stock!B75,Purchase!D:D)-SUMIF(Sale!C:C,Stock!B75,Sale!D:D)</f>
        <v>30</v>
      </c>
      <c r="D75" s="82" t="str">
        <f t="shared" si="1"/>
        <v>In Stock</v>
      </c>
      <c r="E75" s="86">
        <v>1.0</v>
      </c>
      <c r="F75" s="86">
        <v>30.0</v>
      </c>
      <c r="G75" s="83">
        <v>0.0</v>
      </c>
      <c r="H75" s="84">
        <f t="shared" si="2"/>
        <v>0</v>
      </c>
    </row>
    <row r="76">
      <c r="A76" s="85" t="s">
        <v>189</v>
      </c>
      <c r="B76" s="85" t="s">
        <v>189</v>
      </c>
      <c r="C76" s="81">
        <f>F76 + SUMIF(Purchase!C:C,Stock!B76,Purchase!D:D)-SUMIF(Sale!C:C,Stock!B76,Sale!D:D)</f>
        <v>30</v>
      </c>
      <c r="D76" s="82" t="str">
        <f t="shared" si="1"/>
        <v>In Stock</v>
      </c>
      <c r="E76" s="86">
        <v>1.0</v>
      </c>
      <c r="F76" s="86">
        <v>30.0</v>
      </c>
      <c r="G76" s="83">
        <v>0.0</v>
      </c>
      <c r="H76" s="84">
        <f t="shared" si="2"/>
        <v>0</v>
      </c>
    </row>
    <row r="77">
      <c r="A77" s="85" t="s">
        <v>834</v>
      </c>
      <c r="B77" s="85" t="s">
        <v>834</v>
      </c>
      <c r="C77" s="81">
        <f>F77 + SUMIF(Purchase!C:C,Stock!B77,Purchase!D:D)-SUMIF(Sale!C:C,Stock!B77,Sale!D:D)</f>
        <v>30</v>
      </c>
      <c r="D77" s="82" t="str">
        <f t="shared" si="1"/>
        <v>In Stock</v>
      </c>
      <c r="E77" s="86">
        <v>1.0</v>
      </c>
      <c r="F77" s="86">
        <v>30.0</v>
      </c>
      <c r="G77" s="83">
        <v>0.0</v>
      </c>
      <c r="H77" s="84">
        <f t="shared" si="2"/>
        <v>0</v>
      </c>
    </row>
    <row r="78">
      <c r="A78" s="85" t="s">
        <v>836</v>
      </c>
      <c r="B78" s="85" t="s">
        <v>836</v>
      </c>
      <c r="C78" s="81">
        <f>F78 + SUMIF(Purchase!C:C,Stock!B78,Purchase!D:D)-SUMIF(Sale!C:C,Stock!B78,Sale!D:D)</f>
        <v>30</v>
      </c>
      <c r="D78" s="82" t="str">
        <f t="shared" si="1"/>
        <v>In Stock</v>
      </c>
      <c r="E78" s="86">
        <v>1.0</v>
      </c>
      <c r="F78" s="86">
        <v>30.0</v>
      </c>
      <c r="G78" s="83">
        <v>0.0</v>
      </c>
      <c r="H78" s="84">
        <f t="shared" si="2"/>
        <v>0</v>
      </c>
    </row>
    <row r="79">
      <c r="A79" s="85" t="s">
        <v>837</v>
      </c>
      <c r="B79" s="85" t="s">
        <v>837</v>
      </c>
      <c r="C79" s="81">
        <f>F79 + SUMIF(Purchase!C:C,Stock!B79,Purchase!D:D)-SUMIF(Sale!C:C,Stock!B79,Sale!D:D)</f>
        <v>30</v>
      </c>
      <c r="D79" s="82" t="str">
        <f t="shared" si="1"/>
        <v>In Stock</v>
      </c>
      <c r="E79" s="86">
        <v>1.0</v>
      </c>
      <c r="F79" s="86">
        <v>30.0</v>
      </c>
      <c r="G79" s="83">
        <v>0.0</v>
      </c>
      <c r="H79" s="84">
        <f t="shared" si="2"/>
        <v>0</v>
      </c>
    </row>
    <row r="80">
      <c r="A80" s="85" t="s">
        <v>190</v>
      </c>
      <c r="B80" s="85" t="s">
        <v>190</v>
      </c>
      <c r="C80" s="81">
        <f>F80 + SUMIF(Purchase!C:C,Stock!B80,Purchase!D:D)-SUMIF(Sale!C:C,Stock!B80,Sale!D:D)</f>
        <v>30</v>
      </c>
      <c r="D80" s="82" t="str">
        <f t="shared" si="1"/>
        <v>In Stock</v>
      </c>
      <c r="E80" s="86">
        <v>1.0</v>
      </c>
      <c r="F80" s="86">
        <v>30.0</v>
      </c>
      <c r="G80" s="83">
        <v>0.0</v>
      </c>
      <c r="H80" s="84">
        <f t="shared" si="2"/>
        <v>0</v>
      </c>
    </row>
    <row r="81">
      <c r="A81" s="85" t="s">
        <v>173</v>
      </c>
      <c r="B81" s="85" t="s">
        <v>173</v>
      </c>
      <c r="C81" s="81">
        <f>F81 + SUMIF(Purchase!C:C,Stock!B81,Purchase!D:D)-SUMIF(Sale!C:C,Stock!B81,Sale!D:D)</f>
        <v>30</v>
      </c>
      <c r="D81" s="82" t="str">
        <f t="shared" si="1"/>
        <v>In Stock</v>
      </c>
      <c r="E81" s="86">
        <v>1.0</v>
      </c>
      <c r="F81" s="86">
        <v>30.0</v>
      </c>
      <c r="G81" s="83">
        <v>0.0</v>
      </c>
      <c r="H81" s="84">
        <f t="shared" si="2"/>
        <v>0</v>
      </c>
    </row>
    <row r="82">
      <c r="A82" s="85" t="s">
        <v>194</v>
      </c>
      <c r="B82" s="85" t="s">
        <v>194</v>
      </c>
      <c r="C82" s="81">
        <f>F82 + SUMIF(Purchase!C:C,Stock!B82,Purchase!D:D)-SUMIF(Sale!C:C,Stock!B82,Sale!D:D)</f>
        <v>30</v>
      </c>
      <c r="D82" s="82" t="str">
        <f t="shared" si="1"/>
        <v>In Stock</v>
      </c>
      <c r="E82" s="86">
        <v>1.0</v>
      </c>
      <c r="F82" s="86">
        <v>30.0</v>
      </c>
      <c r="G82" s="83">
        <v>0.0</v>
      </c>
      <c r="H82" s="84">
        <f t="shared" si="2"/>
        <v>0</v>
      </c>
    </row>
    <row r="83">
      <c r="A83" s="85" t="s">
        <v>201</v>
      </c>
      <c r="B83" s="85" t="s">
        <v>201</v>
      </c>
      <c r="C83" s="81">
        <f>F83 + SUMIF(Purchase!C:C,Stock!B83,Purchase!D:D)-SUMIF(Sale!C:C,Stock!B83,Sale!D:D)</f>
        <v>30</v>
      </c>
      <c r="D83" s="82" t="str">
        <f t="shared" si="1"/>
        <v>In Stock</v>
      </c>
      <c r="E83" s="86">
        <v>1.0</v>
      </c>
      <c r="F83" s="86">
        <v>30.0</v>
      </c>
      <c r="G83" s="83">
        <v>0.0</v>
      </c>
      <c r="H83" s="84">
        <f t="shared" si="2"/>
        <v>0</v>
      </c>
    </row>
    <row r="84">
      <c r="A84" s="85" t="s">
        <v>191</v>
      </c>
      <c r="B84" s="85" t="s">
        <v>191</v>
      </c>
      <c r="C84" s="81">
        <f>F84 + SUMIF(Purchase!C:C,Stock!B84,Purchase!D:D)-SUMIF(Sale!C:C,Stock!B84,Sale!D:D)</f>
        <v>30</v>
      </c>
      <c r="D84" s="82" t="str">
        <f t="shared" si="1"/>
        <v>In Stock</v>
      </c>
      <c r="E84" s="86">
        <v>1.0</v>
      </c>
      <c r="F84" s="86">
        <v>30.0</v>
      </c>
      <c r="G84" s="83">
        <v>0.0</v>
      </c>
      <c r="H84" s="84">
        <f t="shared" si="2"/>
        <v>0</v>
      </c>
    </row>
    <row r="85">
      <c r="A85" s="85" t="s">
        <v>841</v>
      </c>
      <c r="B85" s="85" t="s">
        <v>841</v>
      </c>
      <c r="C85" s="81">
        <f>F85 + SUMIF(Purchase!C:C,Stock!B85,Purchase!D:D)-SUMIF(Sale!C:C,Stock!B85,Sale!D:D)</f>
        <v>30</v>
      </c>
      <c r="D85" s="82" t="str">
        <f t="shared" si="1"/>
        <v>In Stock</v>
      </c>
      <c r="E85" s="86">
        <v>1.0</v>
      </c>
      <c r="F85" s="86">
        <v>30.0</v>
      </c>
      <c r="G85" s="83">
        <v>0.0</v>
      </c>
      <c r="H85" s="84">
        <f t="shared" si="2"/>
        <v>0</v>
      </c>
    </row>
    <row r="86">
      <c r="A86" s="85" t="s">
        <v>195</v>
      </c>
      <c r="B86" s="85" t="s">
        <v>195</v>
      </c>
      <c r="C86" s="81">
        <f>F86 + SUMIF(Purchase!C:C,Stock!B86,Purchase!D:D)-SUMIF(Sale!C:C,Stock!B86,Sale!D:D)</f>
        <v>30</v>
      </c>
      <c r="D86" s="82" t="str">
        <f t="shared" si="1"/>
        <v>In Stock</v>
      </c>
      <c r="E86" s="86">
        <v>1.0</v>
      </c>
      <c r="F86" s="86">
        <v>30.0</v>
      </c>
      <c r="G86" s="83">
        <v>0.0</v>
      </c>
      <c r="H86" s="84">
        <f t="shared" si="2"/>
        <v>0</v>
      </c>
    </row>
    <row r="87">
      <c r="A87" s="85" t="s">
        <v>202</v>
      </c>
      <c r="B87" s="85" t="s">
        <v>202</v>
      </c>
      <c r="C87" s="81">
        <f>F87 + SUMIF(Purchase!C:C,Stock!B87,Purchase!D:D)-SUMIF(Sale!C:C,Stock!B87,Sale!D:D)</f>
        <v>30</v>
      </c>
      <c r="D87" s="82" t="str">
        <f t="shared" si="1"/>
        <v>In Stock</v>
      </c>
      <c r="E87" s="86">
        <v>1.0</v>
      </c>
      <c r="F87" s="86">
        <v>30.0</v>
      </c>
      <c r="G87" s="83">
        <v>0.0</v>
      </c>
      <c r="H87" s="84">
        <f t="shared" si="2"/>
        <v>0</v>
      </c>
    </row>
    <row r="88">
      <c r="A88" s="85" t="s">
        <v>227</v>
      </c>
      <c r="B88" s="85" t="s">
        <v>227</v>
      </c>
      <c r="C88" s="81">
        <f>F88 + SUMIF(Purchase!C:C,Stock!B88,Purchase!D:D)-SUMIF(Sale!C:C,Stock!B88,Sale!D:D)</f>
        <v>30</v>
      </c>
      <c r="D88" s="82" t="str">
        <f t="shared" si="1"/>
        <v>In Stock</v>
      </c>
      <c r="E88" s="86">
        <v>1.0</v>
      </c>
      <c r="F88" s="86">
        <v>30.0</v>
      </c>
      <c r="G88" s="83">
        <v>0.0</v>
      </c>
      <c r="H88" s="84">
        <f t="shared" si="2"/>
        <v>0</v>
      </c>
    </row>
    <row r="89">
      <c r="A89" s="85" t="s">
        <v>843</v>
      </c>
      <c r="B89" s="85" t="s">
        <v>843</v>
      </c>
      <c r="C89" s="81">
        <f>F89 + SUMIF(Purchase!C:C,Stock!B89,Purchase!D:D)-SUMIF(Sale!C:C,Stock!B89,Sale!D:D)</f>
        <v>30</v>
      </c>
      <c r="D89" s="82" t="str">
        <f t="shared" si="1"/>
        <v>In Stock</v>
      </c>
      <c r="E89" s="86">
        <v>1.0</v>
      </c>
      <c r="F89" s="86">
        <v>30.0</v>
      </c>
      <c r="G89" s="83">
        <v>0.0</v>
      </c>
      <c r="H89" s="84">
        <f t="shared" si="2"/>
        <v>0</v>
      </c>
    </row>
    <row r="90">
      <c r="A90" s="85" t="s">
        <v>844</v>
      </c>
      <c r="B90" s="85" t="s">
        <v>844</v>
      </c>
      <c r="C90" s="81">
        <f>F90 + SUMIF(Purchase!C:C,Stock!B90,Purchase!D:D)-SUMIF(Sale!C:C,Stock!B90,Sale!D:D)</f>
        <v>30</v>
      </c>
      <c r="D90" s="82" t="str">
        <f t="shared" si="1"/>
        <v>In Stock</v>
      </c>
      <c r="E90" s="86">
        <v>1.0</v>
      </c>
      <c r="F90" s="86">
        <v>30.0</v>
      </c>
      <c r="G90" s="83">
        <v>0.0</v>
      </c>
      <c r="H90" s="84">
        <f t="shared" si="2"/>
        <v>0</v>
      </c>
    </row>
    <row r="91">
      <c r="A91" s="85" t="s">
        <v>217</v>
      </c>
      <c r="B91" s="85" t="s">
        <v>217</v>
      </c>
      <c r="C91" s="81">
        <f>F91 + SUMIF(Purchase!C:C,Stock!B91,Purchase!D:D)-SUMIF(Sale!C:C,Stock!B91,Sale!D:D)</f>
        <v>30</v>
      </c>
      <c r="D91" s="82" t="str">
        <f t="shared" si="1"/>
        <v>In Stock</v>
      </c>
      <c r="E91" s="86">
        <v>1.0</v>
      </c>
      <c r="F91" s="86">
        <v>30.0</v>
      </c>
      <c r="G91" s="83">
        <v>0.0</v>
      </c>
      <c r="H91" s="84">
        <f t="shared" si="2"/>
        <v>0</v>
      </c>
    </row>
    <row r="92">
      <c r="A92" s="85" t="s">
        <v>845</v>
      </c>
      <c r="B92" s="85" t="s">
        <v>845</v>
      </c>
      <c r="C92" s="81">
        <f>F92 + SUMIF(Purchase!C:C,Stock!B92,Purchase!D:D)-SUMIF(Sale!C:C,Stock!B92,Sale!D:D)</f>
        <v>30</v>
      </c>
      <c r="D92" s="82" t="str">
        <f t="shared" si="1"/>
        <v>In Stock</v>
      </c>
      <c r="E92" s="86">
        <v>1.0</v>
      </c>
      <c r="F92" s="86">
        <v>30.0</v>
      </c>
      <c r="G92" s="83">
        <v>0.0</v>
      </c>
      <c r="H92" s="84">
        <f t="shared" si="2"/>
        <v>0</v>
      </c>
    </row>
    <row r="93">
      <c r="A93" s="85" t="s">
        <v>846</v>
      </c>
      <c r="B93" s="85" t="s">
        <v>846</v>
      </c>
      <c r="C93" s="81">
        <f>F93 + SUMIF(Purchase!C:C,Stock!B93,Purchase!D:D)-SUMIF(Sale!C:C,Stock!B93,Sale!D:D)</f>
        <v>30</v>
      </c>
      <c r="D93" s="82" t="str">
        <f t="shared" si="1"/>
        <v>In Stock</v>
      </c>
      <c r="E93" s="86">
        <v>1.0</v>
      </c>
      <c r="F93" s="86">
        <v>30.0</v>
      </c>
      <c r="G93" s="83">
        <v>0.0</v>
      </c>
      <c r="H93" s="84">
        <f t="shared" si="2"/>
        <v>0</v>
      </c>
    </row>
    <row r="94">
      <c r="A94" s="85" t="s">
        <v>847</v>
      </c>
      <c r="B94" s="85" t="s">
        <v>847</v>
      </c>
      <c r="C94" s="81">
        <f>F94 + SUMIF(Purchase!C:C,Stock!B94,Purchase!D:D)-SUMIF(Sale!C:C,Stock!B94,Sale!D:D)</f>
        <v>30</v>
      </c>
      <c r="D94" s="82" t="str">
        <f t="shared" si="1"/>
        <v>In Stock</v>
      </c>
      <c r="E94" s="86">
        <v>1.0</v>
      </c>
      <c r="F94" s="86">
        <v>30.0</v>
      </c>
      <c r="G94" s="83">
        <v>0.0</v>
      </c>
      <c r="H94" s="84">
        <f t="shared" si="2"/>
        <v>0</v>
      </c>
    </row>
    <row r="95">
      <c r="A95" s="85" t="s">
        <v>129</v>
      </c>
      <c r="B95" s="85" t="s">
        <v>129</v>
      </c>
      <c r="C95" s="81">
        <f>F95 + SUMIF(Purchase!C:C,Stock!B95,Purchase!D:D)-SUMIF(Sale!C:C,Stock!B95,Sale!D:D)</f>
        <v>30</v>
      </c>
      <c r="D95" s="82" t="str">
        <f t="shared" si="1"/>
        <v>In Stock</v>
      </c>
      <c r="E95" s="86">
        <v>1.0</v>
      </c>
      <c r="F95" s="86">
        <v>30.0</v>
      </c>
      <c r="G95" s="83">
        <v>0.0</v>
      </c>
      <c r="H95" s="84">
        <f t="shared" si="2"/>
        <v>0</v>
      </c>
    </row>
    <row r="96">
      <c r="A96" s="85" t="s">
        <v>848</v>
      </c>
      <c r="B96" s="85" t="s">
        <v>848</v>
      </c>
      <c r="C96" s="81">
        <f>F96 + SUMIF(Purchase!C:C,Stock!B96,Purchase!D:D)-SUMIF(Sale!C:C,Stock!B96,Sale!D:D)</f>
        <v>30</v>
      </c>
      <c r="D96" s="82" t="str">
        <f t="shared" si="1"/>
        <v>In Stock</v>
      </c>
      <c r="E96" s="86">
        <v>1.0</v>
      </c>
      <c r="F96" s="86">
        <v>30.0</v>
      </c>
      <c r="G96" s="83">
        <v>0.0</v>
      </c>
      <c r="H96" s="84">
        <f t="shared" si="2"/>
        <v>0</v>
      </c>
    </row>
    <row r="97">
      <c r="A97" s="85" t="s">
        <v>849</v>
      </c>
      <c r="B97" s="85" t="s">
        <v>849</v>
      </c>
      <c r="C97" s="81">
        <f>F97 + SUMIF(Purchase!C:C,Stock!B97,Purchase!D:D)-SUMIF(Sale!C:C,Stock!B97,Sale!D:D)</f>
        <v>30</v>
      </c>
      <c r="D97" s="82" t="str">
        <f t="shared" si="1"/>
        <v>In Stock</v>
      </c>
      <c r="E97" s="86">
        <v>1.0</v>
      </c>
      <c r="F97" s="86">
        <v>30.0</v>
      </c>
      <c r="G97" s="83">
        <v>0.0</v>
      </c>
      <c r="H97" s="84">
        <f t="shared" si="2"/>
        <v>0</v>
      </c>
    </row>
    <row r="98">
      <c r="A98" s="85" t="s">
        <v>850</v>
      </c>
      <c r="B98" s="85" t="s">
        <v>850</v>
      </c>
      <c r="C98" s="81">
        <f>F98 + SUMIF(Purchase!C:C,Stock!B98,Purchase!D:D)-SUMIF(Sale!C:C,Stock!B98,Sale!D:D)</f>
        <v>30</v>
      </c>
      <c r="D98" s="82" t="str">
        <f t="shared" si="1"/>
        <v>In Stock</v>
      </c>
      <c r="E98" s="86">
        <v>1.0</v>
      </c>
      <c r="F98" s="86">
        <v>30.0</v>
      </c>
      <c r="G98" s="83">
        <v>0.0</v>
      </c>
      <c r="H98" s="84">
        <f t="shared" si="2"/>
        <v>0</v>
      </c>
    </row>
    <row r="99">
      <c r="A99" s="85" t="s">
        <v>233</v>
      </c>
      <c r="B99" s="85" t="s">
        <v>233</v>
      </c>
      <c r="C99" s="81">
        <f>F99 + SUMIF(Purchase!C:C,Stock!B99,Purchase!D:D)-SUMIF(Sale!C:C,Stock!B99,Sale!D:D)</f>
        <v>60</v>
      </c>
      <c r="D99" s="82" t="str">
        <f t="shared" si="1"/>
        <v>In Stock</v>
      </c>
      <c r="E99" s="86">
        <v>1.0</v>
      </c>
      <c r="F99" s="86">
        <v>60.0</v>
      </c>
      <c r="G99" s="83">
        <v>0.0</v>
      </c>
      <c r="H99" s="84">
        <f t="shared" si="2"/>
        <v>0</v>
      </c>
    </row>
    <row r="100">
      <c r="A100" s="85" t="s">
        <v>234</v>
      </c>
      <c r="B100" s="85" t="s">
        <v>234</v>
      </c>
      <c r="C100" s="81">
        <f>F100 + SUMIF(Purchase!C:C,Stock!B100,Purchase!D:D)-SUMIF(Sale!C:C,Stock!B100,Sale!D:D)</f>
        <v>60</v>
      </c>
      <c r="D100" s="82" t="str">
        <f t="shared" si="1"/>
        <v>In Stock</v>
      </c>
      <c r="E100" s="86">
        <v>1.0</v>
      </c>
      <c r="F100" s="86">
        <v>60.0</v>
      </c>
      <c r="G100" s="83">
        <v>0.0</v>
      </c>
      <c r="H100" s="84">
        <f t="shared" si="2"/>
        <v>0</v>
      </c>
    </row>
    <row r="101">
      <c r="A101" s="85" t="s">
        <v>235</v>
      </c>
      <c r="B101" s="85" t="s">
        <v>235</v>
      </c>
      <c r="C101" s="81">
        <f>F101 + SUMIF(Purchase!C:C,Stock!B101,Purchase!D:D)-SUMIF(Sale!C:C,Stock!B101,Sale!D:D)</f>
        <v>60</v>
      </c>
      <c r="D101" s="82" t="str">
        <f t="shared" si="1"/>
        <v>In Stock</v>
      </c>
      <c r="E101" s="86">
        <v>1.0</v>
      </c>
      <c r="F101" s="86">
        <v>60.0</v>
      </c>
      <c r="G101" s="83">
        <v>0.0</v>
      </c>
      <c r="H101" s="84">
        <f t="shared" si="2"/>
        <v>0</v>
      </c>
    </row>
    <row r="102">
      <c r="A102" s="85" t="s">
        <v>851</v>
      </c>
      <c r="B102" s="85" t="s">
        <v>851</v>
      </c>
      <c r="C102" s="81">
        <f>F102 + SUMIF(Purchase!C:C,Stock!B102,Purchase!D:D)-SUMIF(Sale!C:C,Stock!B102,Sale!D:D)</f>
        <v>60</v>
      </c>
      <c r="D102" s="82" t="str">
        <f t="shared" si="1"/>
        <v>In Stock</v>
      </c>
      <c r="E102" s="86">
        <v>1.0</v>
      </c>
      <c r="F102" s="86">
        <v>60.0</v>
      </c>
      <c r="G102" s="83">
        <v>0.0</v>
      </c>
      <c r="H102" s="84">
        <f t="shared" si="2"/>
        <v>0</v>
      </c>
    </row>
    <row r="103">
      <c r="A103" s="85" t="s">
        <v>203</v>
      </c>
      <c r="B103" s="85" t="s">
        <v>203</v>
      </c>
      <c r="C103" s="81">
        <f>F103 + SUMIF(Purchase!C:C,Stock!B103,Purchase!D:D)-SUMIF(Sale!C:C,Stock!B103,Sale!D:D)</f>
        <v>60</v>
      </c>
      <c r="D103" s="82" t="str">
        <f t="shared" si="1"/>
        <v>In Stock</v>
      </c>
      <c r="E103" s="86">
        <v>1.0</v>
      </c>
      <c r="F103" s="86">
        <v>60.0</v>
      </c>
      <c r="G103" s="83">
        <v>0.0</v>
      </c>
      <c r="H103" s="84">
        <f t="shared" si="2"/>
        <v>0</v>
      </c>
    </row>
    <row r="104">
      <c r="A104" s="85" t="s">
        <v>852</v>
      </c>
      <c r="B104" s="85" t="s">
        <v>852</v>
      </c>
      <c r="C104" s="81">
        <f>F104 + SUMIF(Purchase!C:C,Stock!B104,Purchase!D:D)-SUMIF(Sale!C:C,Stock!B104,Sale!D:D)</f>
        <v>30</v>
      </c>
      <c r="D104" s="82" t="str">
        <f t="shared" si="1"/>
        <v>In Stock</v>
      </c>
      <c r="E104" s="86">
        <v>1.0</v>
      </c>
      <c r="F104" s="86">
        <v>30.0</v>
      </c>
      <c r="G104" s="83">
        <v>0.0</v>
      </c>
      <c r="H104" s="84">
        <f t="shared" si="2"/>
        <v>0</v>
      </c>
    </row>
    <row r="105">
      <c r="A105" s="85" t="s">
        <v>853</v>
      </c>
      <c r="B105" s="85" t="s">
        <v>853</v>
      </c>
      <c r="C105" s="81">
        <f>F105 + SUMIF(Purchase!C:C,Stock!B105,Purchase!D:D)-SUMIF(Sale!C:C,Stock!B105,Sale!D:D)</f>
        <v>30</v>
      </c>
      <c r="D105" s="82" t="str">
        <f t="shared" si="1"/>
        <v>In Stock</v>
      </c>
      <c r="E105" s="86">
        <v>1.0</v>
      </c>
      <c r="F105" s="86">
        <v>30.0</v>
      </c>
      <c r="G105" s="83">
        <v>0.0</v>
      </c>
      <c r="H105" s="84">
        <f t="shared" si="2"/>
        <v>0</v>
      </c>
    </row>
    <row r="106">
      <c r="A106" s="85" t="s">
        <v>174</v>
      </c>
      <c r="B106" s="85" t="s">
        <v>174</v>
      </c>
      <c r="C106" s="81">
        <f>F106 + SUMIF(Purchase!C:C,Stock!B106,Purchase!D:D)-SUMIF(Sale!C:C,Stock!B106,Sale!D:D)</f>
        <v>30</v>
      </c>
      <c r="D106" s="82" t="str">
        <f t="shared" si="1"/>
        <v>In Stock</v>
      </c>
      <c r="E106" s="86">
        <v>1.0</v>
      </c>
      <c r="F106" s="86">
        <v>30.0</v>
      </c>
      <c r="G106" s="83">
        <v>0.0</v>
      </c>
      <c r="H106" s="84">
        <f t="shared" si="2"/>
        <v>0</v>
      </c>
    </row>
    <row r="107">
      <c r="A107" s="85" t="s">
        <v>854</v>
      </c>
      <c r="B107" s="85" t="s">
        <v>854</v>
      </c>
      <c r="C107" s="81">
        <f>F107 + SUMIF(Purchase!C:C,Stock!B107,Purchase!D:D)-SUMIF(Sale!C:C,Stock!B107,Sale!D:D)</f>
        <v>30</v>
      </c>
      <c r="D107" s="82" t="str">
        <f t="shared" si="1"/>
        <v>In Stock</v>
      </c>
      <c r="E107" s="86">
        <v>1.0</v>
      </c>
      <c r="F107" s="86">
        <v>30.0</v>
      </c>
      <c r="G107" s="83">
        <v>0.0</v>
      </c>
      <c r="H107" s="84">
        <f t="shared" si="2"/>
        <v>0</v>
      </c>
    </row>
    <row r="108">
      <c r="A108" s="85" t="s">
        <v>205</v>
      </c>
      <c r="B108" s="85" t="s">
        <v>205</v>
      </c>
      <c r="C108" s="81">
        <f>F108 + SUMIF(Purchase!C:C,Stock!B108,Purchase!D:D)-SUMIF(Sale!C:C,Stock!B108,Sale!D:D)</f>
        <v>30</v>
      </c>
      <c r="D108" s="82" t="str">
        <f t="shared" si="1"/>
        <v>In Stock</v>
      </c>
      <c r="E108" s="86">
        <v>1.0</v>
      </c>
      <c r="F108" s="86">
        <v>30.0</v>
      </c>
      <c r="G108" s="83">
        <v>0.0</v>
      </c>
      <c r="H108" s="84">
        <f t="shared" si="2"/>
        <v>0</v>
      </c>
    </row>
    <row r="109">
      <c r="A109" s="85" t="s">
        <v>175</v>
      </c>
      <c r="B109" s="85" t="s">
        <v>175</v>
      </c>
      <c r="C109" s="81">
        <f>F109 + SUMIF(Purchase!C:C,Stock!B109,Purchase!D:D)-SUMIF(Sale!C:C,Stock!B109,Sale!D:D)</f>
        <v>30</v>
      </c>
      <c r="D109" s="82" t="str">
        <f t="shared" si="1"/>
        <v>In Stock</v>
      </c>
      <c r="E109" s="86">
        <v>1.0</v>
      </c>
      <c r="F109" s="86">
        <v>30.0</v>
      </c>
      <c r="G109" s="83">
        <v>0.0</v>
      </c>
      <c r="H109" s="84">
        <f t="shared" si="2"/>
        <v>0</v>
      </c>
    </row>
    <row r="110">
      <c r="A110" s="85" t="s">
        <v>855</v>
      </c>
      <c r="B110" s="85" t="s">
        <v>855</v>
      </c>
      <c r="C110" s="81">
        <f>F110 + SUMIF(Purchase!C:C,Stock!B110,Purchase!D:D)-SUMIF(Sale!C:C,Stock!B110,Sale!D:D)</f>
        <v>30</v>
      </c>
      <c r="D110" s="82" t="str">
        <f t="shared" si="1"/>
        <v>In Stock</v>
      </c>
      <c r="E110" s="86">
        <v>1.0</v>
      </c>
      <c r="F110" s="86">
        <v>30.0</v>
      </c>
      <c r="G110" s="83">
        <v>0.0</v>
      </c>
      <c r="H110" s="84">
        <f t="shared" si="2"/>
        <v>0</v>
      </c>
    </row>
    <row r="111">
      <c r="A111" s="85" t="s">
        <v>207</v>
      </c>
      <c r="B111" s="85" t="s">
        <v>207</v>
      </c>
      <c r="C111" s="81">
        <f>F111 + SUMIF(Purchase!C:C,Stock!B111,Purchase!D:D)-SUMIF(Sale!C:C,Stock!B111,Sale!D:D)</f>
        <v>30</v>
      </c>
      <c r="D111" s="82" t="str">
        <f t="shared" si="1"/>
        <v>In Stock</v>
      </c>
      <c r="E111" s="86">
        <v>1.0</v>
      </c>
      <c r="F111" s="86">
        <v>30.0</v>
      </c>
      <c r="G111" s="83">
        <v>0.0</v>
      </c>
      <c r="H111" s="84">
        <f t="shared" si="2"/>
        <v>0</v>
      </c>
    </row>
    <row r="112">
      <c r="A112" s="85" t="s">
        <v>197</v>
      </c>
      <c r="B112" s="85" t="s">
        <v>197</v>
      </c>
      <c r="C112" s="81">
        <f>F112 + SUMIF(Purchase!C:C,Stock!B112,Purchase!D:D)-SUMIF(Sale!C:C,Stock!B112,Sale!D:D)</f>
        <v>50</v>
      </c>
      <c r="D112" s="82" t="str">
        <f t="shared" si="1"/>
        <v>In Stock</v>
      </c>
      <c r="E112" s="86">
        <v>1.0</v>
      </c>
      <c r="F112" s="86">
        <v>50.0</v>
      </c>
      <c r="G112" s="83">
        <v>0.0</v>
      </c>
      <c r="H112" s="84">
        <f t="shared" si="2"/>
        <v>0</v>
      </c>
    </row>
    <row r="113">
      <c r="A113" s="85" t="s">
        <v>209</v>
      </c>
      <c r="B113" s="85" t="s">
        <v>209</v>
      </c>
      <c r="C113" s="81">
        <f>F113 + SUMIF(Purchase!C:C,Stock!B113,Purchase!D:D)-SUMIF(Sale!C:C,Stock!B113,Sale!D:D)</f>
        <v>50</v>
      </c>
      <c r="D113" s="82" t="str">
        <f t="shared" si="1"/>
        <v>In Stock</v>
      </c>
      <c r="E113" s="86">
        <v>1.0</v>
      </c>
      <c r="F113" s="86">
        <v>50.0</v>
      </c>
      <c r="G113" s="83">
        <v>0.0</v>
      </c>
      <c r="H113" s="84">
        <f t="shared" si="2"/>
        <v>0</v>
      </c>
    </row>
    <row r="114">
      <c r="A114" s="85" t="s">
        <v>198</v>
      </c>
      <c r="B114" s="85" t="s">
        <v>198</v>
      </c>
      <c r="C114" s="81">
        <f>F114 + SUMIF(Purchase!C:C,Stock!B114,Purchase!D:D)-SUMIF(Sale!C:C,Stock!B114,Sale!D:D)</f>
        <v>50</v>
      </c>
      <c r="D114" s="82" t="str">
        <f t="shared" si="1"/>
        <v>In Stock</v>
      </c>
      <c r="E114" s="86">
        <v>1.0</v>
      </c>
      <c r="F114" s="86">
        <v>50.0</v>
      </c>
      <c r="G114" s="83">
        <v>0.0</v>
      </c>
      <c r="H114" s="84">
        <f t="shared" si="2"/>
        <v>0</v>
      </c>
    </row>
    <row r="115">
      <c r="A115" s="85" t="s">
        <v>204</v>
      </c>
      <c r="B115" s="85" t="s">
        <v>204</v>
      </c>
      <c r="C115" s="81">
        <f>F115 + SUMIF(Purchase!C:C,Stock!B115,Purchase!D:D)-SUMIF(Sale!C:C,Stock!B115,Sale!D:D)</f>
        <v>50</v>
      </c>
      <c r="D115" s="82" t="str">
        <f t="shared" si="1"/>
        <v>In Stock</v>
      </c>
      <c r="E115" s="86">
        <v>1.0</v>
      </c>
      <c r="F115" s="86">
        <v>50.0</v>
      </c>
      <c r="G115" s="83">
        <v>0.0</v>
      </c>
      <c r="H115" s="84">
        <f t="shared" si="2"/>
        <v>0</v>
      </c>
    </row>
    <row r="116">
      <c r="A116" s="85" t="s">
        <v>856</v>
      </c>
      <c r="B116" s="85" t="s">
        <v>856</v>
      </c>
      <c r="C116" s="81">
        <f>F116 + SUMIF(Purchase!C:C,Stock!B116,Purchase!D:D)-SUMIF(Sale!C:C,Stock!B116,Sale!D:D)</f>
        <v>10</v>
      </c>
      <c r="D116" s="82" t="str">
        <f t="shared" si="1"/>
        <v>In Stock</v>
      </c>
      <c r="E116" s="86">
        <v>1.0</v>
      </c>
      <c r="F116" s="86">
        <v>10.0</v>
      </c>
      <c r="G116" s="83">
        <v>0.0</v>
      </c>
      <c r="H116" s="84">
        <f t="shared" si="2"/>
        <v>0</v>
      </c>
    </row>
    <row r="117">
      <c r="A117" s="85" t="s">
        <v>857</v>
      </c>
      <c r="B117" s="85" t="s">
        <v>857</v>
      </c>
      <c r="C117" s="81">
        <f>F117 + SUMIF(Purchase!C:C,Stock!B117,Purchase!D:D)-SUMIF(Sale!C:C,Stock!B117,Sale!D:D)</f>
        <v>30</v>
      </c>
      <c r="D117" s="82" t="str">
        <f t="shared" si="1"/>
        <v>In Stock</v>
      </c>
      <c r="E117" s="86">
        <v>1.0</v>
      </c>
      <c r="F117" s="86">
        <v>30.0</v>
      </c>
      <c r="G117" s="83">
        <v>0.0</v>
      </c>
      <c r="H117" s="84">
        <f t="shared" si="2"/>
        <v>0</v>
      </c>
    </row>
    <row r="118">
      <c r="A118" s="85" t="s">
        <v>230</v>
      </c>
      <c r="B118" s="85" t="s">
        <v>230</v>
      </c>
      <c r="C118" s="81">
        <f>F118 + SUMIF(Purchase!C:C,Stock!B118,Purchase!D:D)-SUMIF(Sale!C:C,Stock!B118,Sale!D:D)</f>
        <v>0</v>
      </c>
      <c r="D118" s="82" t="str">
        <f t="shared" si="1"/>
        <v>Low Stock</v>
      </c>
      <c r="E118" s="86">
        <v>1.0</v>
      </c>
      <c r="F118" s="86">
        <v>0.0</v>
      </c>
      <c r="G118" s="83">
        <v>0.0</v>
      </c>
      <c r="H118" s="84">
        <f t="shared" si="2"/>
        <v>0</v>
      </c>
      <c r="I118" s="59" t="s">
        <v>772</v>
      </c>
    </row>
    <row r="119">
      <c r="A119" s="85" t="s">
        <v>858</v>
      </c>
      <c r="B119" s="85" t="s">
        <v>858</v>
      </c>
      <c r="C119" s="81">
        <f>F119 + SUMIF(Purchase!C:C,Stock!B119,Purchase!D:D)-SUMIF(Sale!C:C,Stock!B119,Sale!D:D)</f>
        <v>0</v>
      </c>
      <c r="D119" s="82" t="str">
        <f t="shared" si="1"/>
        <v>Low Stock</v>
      </c>
      <c r="E119" s="86">
        <v>1.0</v>
      </c>
      <c r="F119" s="86">
        <v>0.0</v>
      </c>
      <c r="G119" s="83">
        <v>0.0</v>
      </c>
      <c r="H119" s="84">
        <f t="shared" si="2"/>
        <v>0</v>
      </c>
      <c r="I119" s="59" t="s">
        <v>772</v>
      </c>
    </row>
    <row r="120">
      <c r="A120" s="85" t="s">
        <v>357</v>
      </c>
      <c r="B120" s="85" t="s">
        <v>357</v>
      </c>
      <c r="C120" s="81">
        <f>F120 + SUMIF(Purchase!C:C,Stock!B120,Purchase!D:D)-SUMIF(Sale!C:C,Stock!B120,Sale!D:D)</f>
        <v>90</v>
      </c>
      <c r="D120" s="82" t="str">
        <f t="shared" si="1"/>
        <v>In Stock</v>
      </c>
      <c r="E120" s="86">
        <v>1.0</v>
      </c>
      <c r="F120" s="86">
        <v>90.0</v>
      </c>
      <c r="G120" s="83">
        <v>0.0</v>
      </c>
      <c r="H120" s="84">
        <f t="shared" si="2"/>
        <v>0</v>
      </c>
    </row>
    <row r="121">
      <c r="A121" s="85" t="s">
        <v>353</v>
      </c>
      <c r="B121" s="85" t="s">
        <v>353</v>
      </c>
      <c r="C121" s="81">
        <f>F121 + SUMIF(Purchase!C:C,Stock!B121,Purchase!D:D)-SUMIF(Sale!C:C,Stock!B121,Sale!D:D)</f>
        <v>90</v>
      </c>
      <c r="D121" s="82" t="str">
        <f t="shared" si="1"/>
        <v>In Stock</v>
      </c>
      <c r="E121" s="86">
        <v>1.0</v>
      </c>
      <c r="F121" s="86">
        <v>90.0</v>
      </c>
      <c r="G121" s="83">
        <v>0.0</v>
      </c>
      <c r="H121" s="84">
        <f t="shared" si="2"/>
        <v>0</v>
      </c>
    </row>
    <row r="122">
      <c r="A122" s="85" t="s">
        <v>360</v>
      </c>
      <c r="B122" s="85" t="s">
        <v>360</v>
      </c>
      <c r="C122" s="81">
        <f>F122 + SUMIF(Purchase!C:C,Stock!B122,Purchase!D:D)-SUMIF(Sale!C:C,Stock!B122,Sale!D:D)</f>
        <v>160</v>
      </c>
      <c r="D122" s="82" t="str">
        <f t="shared" si="1"/>
        <v>In Stock</v>
      </c>
      <c r="E122" s="86">
        <v>1.0</v>
      </c>
      <c r="F122" s="86">
        <v>160.0</v>
      </c>
      <c r="G122" s="83">
        <v>0.0</v>
      </c>
      <c r="H122" s="84">
        <f t="shared" si="2"/>
        <v>0</v>
      </c>
    </row>
    <row r="123">
      <c r="A123" s="85" t="s">
        <v>364</v>
      </c>
      <c r="B123" s="85" t="s">
        <v>364</v>
      </c>
      <c r="C123" s="81">
        <f>F123 + SUMIF(Purchase!C:C,Stock!B123,Purchase!D:D)-SUMIF(Sale!C:C,Stock!B123,Sale!D:D)</f>
        <v>150</v>
      </c>
      <c r="D123" s="82" t="str">
        <f t="shared" si="1"/>
        <v>In Stock</v>
      </c>
      <c r="E123" s="86">
        <v>1.0</v>
      </c>
      <c r="F123" s="86">
        <v>150.0</v>
      </c>
      <c r="G123" s="83">
        <v>0.0</v>
      </c>
      <c r="H123" s="84">
        <f t="shared" si="2"/>
        <v>0</v>
      </c>
    </row>
    <row r="124">
      <c r="A124" s="85" t="s">
        <v>337</v>
      </c>
      <c r="B124" s="85" t="s">
        <v>337</v>
      </c>
      <c r="C124" s="81">
        <f>F124 + SUMIF(Purchase!C:C,Stock!B124,Purchase!D:D)-SUMIF(Sale!C:C,Stock!B124,Sale!D:D)</f>
        <v>130</v>
      </c>
      <c r="D124" s="82" t="str">
        <f t="shared" si="1"/>
        <v>In Stock</v>
      </c>
      <c r="E124" s="86">
        <v>1.0</v>
      </c>
      <c r="F124" s="86">
        <v>130.0</v>
      </c>
      <c r="G124" s="83">
        <v>0.0</v>
      </c>
      <c r="H124" s="84">
        <f t="shared" si="2"/>
        <v>0</v>
      </c>
    </row>
    <row r="125">
      <c r="A125" s="85" t="s">
        <v>328</v>
      </c>
      <c r="B125" s="85" t="s">
        <v>328</v>
      </c>
      <c r="C125" s="81">
        <f>F125 + SUMIF(Purchase!C:C,Stock!B125,Purchase!D:D)-SUMIF(Sale!C:C,Stock!B125,Sale!D:D)</f>
        <v>50</v>
      </c>
      <c r="D125" s="82" t="str">
        <f t="shared" si="1"/>
        <v>In Stock</v>
      </c>
      <c r="E125" s="86">
        <v>1.0</v>
      </c>
      <c r="F125" s="86">
        <v>50.0</v>
      </c>
      <c r="G125" s="83">
        <v>0.0</v>
      </c>
      <c r="H125" s="84">
        <f t="shared" si="2"/>
        <v>0</v>
      </c>
    </row>
    <row r="126">
      <c r="A126" s="85" t="s">
        <v>341</v>
      </c>
      <c r="B126" s="85" t="s">
        <v>341</v>
      </c>
      <c r="C126" s="81">
        <f>F126 + SUMIF(Purchase!C:C,Stock!B126,Purchase!D:D)-SUMIF(Sale!C:C,Stock!B126,Sale!D:D)</f>
        <v>90</v>
      </c>
      <c r="D126" s="82" t="str">
        <f t="shared" si="1"/>
        <v>In Stock</v>
      </c>
      <c r="E126" s="86">
        <v>1.0</v>
      </c>
      <c r="F126" s="86">
        <v>90.0</v>
      </c>
      <c r="G126" s="83">
        <v>0.0</v>
      </c>
      <c r="H126" s="84">
        <f t="shared" si="2"/>
        <v>0</v>
      </c>
    </row>
    <row r="127">
      <c r="A127" s="85" t="s">
        <v>507</v>
      </c>
      <c r="B127" s="85" t="s">
        <v>507</v>
      </c>
      <c r="C127" s="81">
        <f>F127 + SUMIF(Purchase!C:C,Stock!B127,Purchase!D:D)-SUMIF(Sale!C:C,Stock!B127,Sale!D:D)</f>
        <v>50</v>
      </c>
      <c r="D127" s="82" t="str">
        <f t="shared" si="1"/>
        <v>In Stock</v>
      </c>
      <c r="E127" s="86">
        <v>1.0</v>
      </c>
      <c r="F127" s="86">
        <v>50.0</v>
      </c>
      <c r="G127" s="83">
        <v>0.0</v>
      </c>
      <c r="H127" s="84">
        <f t="shared" si="2"/>
        <v>0</v>
      </c>
    </row>
    <row r="128">
      <c r="A128" s="85" t="s">
        <v>505</v>
      </c>
      <c r="B128" s="85" t="s">
        <v>505</v>
      </c>
      <c r="C128" s="81">
        <f>F128 + SUMIF(Purchase!C:C,Stock!B128,Purchase!D:D)-SUMIF(Sale!C:C,Stock!B128,Sale!D:D)</f>
        <v>50</v>
      </c>
      <c r="D128" s="82" t="str">
        <f t="shared" si="1"/>
        <v>In Stock</v>
      </c>
      <c r="E128" s="86">
        <v>1.0</v>
      </c>
      <c r="F128" s="86">
        <v>50.0</v>
      </c>
      <c r="G128" s="83">
        <v>0.0</v>
      </c>
      <c r="H128" s="84">
        <f t="shared" si="2"/>
        <v>0</v>
      </c>
    </row>
    <row r="129">
      <c r="A129" s="85" t="s">
        <v>498</v>
      </c>
      <c r="B129" s="85" t="s">
        <v>498</v>
      </c>
      <c r="C129" s="81">
        <f>F129 + SUMIF(Purchase!C:C,Stock!B129,Purchase!D:D)-SUMIF(Sale!C:C,Stock!B129,Sale!D:D)</f>
        <v>120</v>
      </c>
      <c r="D129" s="82" t="str">
        <f t="shared" si="1"/>
        <v>In Stock</v>
      </c>
      <c r="E129" s="86">
        <v>1.0</v>
      </c>
      <c r="F129" s="86">
        <v>120.0</v>
      </c>
      <c r="G129" s="83">
        <v>0.0</v>
      </c>
      <c r="H129" s="84">
        <f t="shared" si="2"/>
        <v>0</v>
      </c>
    </row>
    <row r="130">
      <c r="A130" s="85" t="s">
        <v>461</v>
      </c>
      <c r="B130" s="85" t="s">
        <v>461</v>
      </c>
      <c r="C130" s="81">
        <f>F130 + SUMIF(Purchase!C:C,Stock!B130,Purchase!D:D)-SUMIF(Sale!C:C,Stock!B130,Sale!D:D)</f>
        <v>60</v>
      </c>
      <c r="D130" s="82" t="str">
        <f t="shared" si="1"/>
        <v>In Stock</v>
      </c>
      <c r="E130" s="86">
        <v>1.0</v>
      </c>
      <c r="F130" s="86">
        <v>60.0</v>
      </c>
      <c r="G130" s="83">
        <v>0.0</v>
      </c>
      <c r="H130" s="84">
        <f t="shared" si="2"/>
        <v>0</v>
      </c>
    </row>
    <row r="131">
      <c r="A131" s="85" t="s">
        <v>450</v>
      </c>
      <c r="B131" s="85" t="s">
        <v>450</v>
      </c>
      <c r="C131" s="81">
        <f>F131 + SUMIF(Purchase!C:C,Stock!B131,Purchase!D:D)-SUMIF(Sale!C:C,Stock!B131,Sale!D:D)</f>
        <v>20</v>
      </c>
      <c r="D131" s="82" t="str">
        <f t="shared" si="1"/>
        <v>In Stock</v>
      </c>
      <c r="E131" s="86">
        <v>1.0</v>
      </c>
      <c r="F131" s="86">
        <v>20.0</v>
      </c>
      <c r="G131" s="83">
        <v>0.0</v>
      </c>
      <c r="H131" s="84">
        <f t="shared" si="2"/>
        <v>0</v>
      </c>
    </row>
    <row r="132">
      <c r="A132" s="85" t="s">
        <v>426</v>
      </c>
      <c r="B132" s="85" t="s">
        <v>426</v>
      </c>
      <c r="C132" s="81">
        <f>F132 + SUMIF(Purchase!C:C,Stock!B132,Purchase!D:D)-SUMIF(Sale!C:C,Stock!B132,Sale!D:D)</f>
        <v>60</v>
      </c>
      <c r="D132" s="82" t="str">
        <f t="shared" si="1"/>
        <v>In Stock</v>
      </c>
      <c r="E132" s="86">
        <v>1.0</v>
      </c>
      <c r="F132" s="86">
        <v>60.0</v>
      </c>
      <c r="G132" s="83">
        <v>0.0</v>
      </c>
      <c r="H132" s="84">
        <f t="shared" si="2"/>
        <v>0</v>
      </c>
      <c r="J132" s="99" t="s">
        <v>426</v>
      </c>
      <c r="K132" s="100" t="s">
        <v>426</v>
      </c>
    </row>
    <row r="133">
      <c r="A133" s="85" t="s">
        <v>434</v>
      </c>
      <c r="B133" s="85" t="s">
        <v>434</v>
      </c>
      <c r="C133" s="81">
        <f>F133 + SUMIF(Purchase!C:C,Stock!B133,Purchase!D:D)-SUMIF(Sale!C:C,Stock!B133,Sale!D:D)</f>
        <v>10</v>
      </c>
      <c r="D133" s="82" t="str">
        <f t="shared" si="1"/>
        <v>In Stock</v>
      </c>
      <c r="E133" s="86">
        <v>1.0</v>
      </c>
      <c r="F133" s="86">
        <v>10.0</v>
      </c>
      <c r="G133" s="83">
        <v>0.0</v>
      </c>
      <c r="H133" s="84">
        <f t="shared" si="2"/>
        <v>0</v>
      </c>
      <c r="J133" s="99" t="s">
        <v>434</v>
      </c>
      <c r="K133" s="100" t="s">
        <v>434</v>
      </c>
    </row>
    <row r="134">
      <c r="A134" s="85" t="s">
        <v>473</v>
      </c>
      <c r="B134" s="85" t="s">
        <v>473</v>
      </c>
      <c r="C134" s="81">
        <f>F134 + SUMIF(Purchase!C:C,Stock!B134,Purchase!D:D)-SUMIF(Sale!C:C,Stock!B134,Sale!D:D)</f>
        <v>10</v>
      </c>
      <c r="D134" s="82" t="str">
        <f t="shared" si="1"/>
        <v>In Stock</v>
      </c>
      <c r="E134" s="86">
        <v>1.0</v>
      </c>
      <c r="F134" s="86">
        <v>10.0</v>
      </c>
      <c r="G134" s="83">
        <v>0.0</v>
      </c>
      <c r="H134" s="84">
        <f t="shared" si="2"/>
        <v>0</v>
      </c>
      <c r="J134" s="99" t="s">
        <v>473</v>
      </c>
      <c r="K134" s="100" t="s">
        <v>473</v>
      </c>
    </row>
    <row r="135">
      <c r="A135" s="85" t="s">
        <v>406</v>
      </c>
      <c r="B135" s="85" t="s">
        <v>406</v>
      </c>
      <c r="C135" s="81">
        <f>F135 + SUMIF(Purchase!C:C,Stock!B135,Purchase!D:D)-SUMIF(Sale!C:C,Stock!B135,Sale!D:D)</f>
        <v>10</v>
      </c>
      <c r="D135" s="82" t="str">
        <f t="shared" si="1"/>
        <v>In Stock</v>
      </c>
      <c r="E135" s="86">
        <v>1.0</v>
      </c>
      <c r="F135" s="86">
        <v>10.0</v>
      </c>
      <c r="G135" s="83">
        <v>0.0</v>
      </c>
      <c r="H135" s="84">
        <f t="shared" si="2"/>
        <v>0</v>
      </c>
      <c r="J135" s="99" t="s">
        <v>406</v>
      </c>
      <c r="K135" s="100" t="s">
        <v>406</v>
      </c>
    </row>
    <row r="136">
      <c r="A136" s="85" t="s">
        <v>863</v>
      </c>
      <c r="B136" s="85" t="s">
        <v>863</v>
      </c>
      <c r="C136" s="81">
        <f>F136 + SUMIF(Purchase!C:C,Stock!B136,Purchase!D:D)-SUMIF(Sale!C:C,Stock!B136,Sale!D:D)</f>
        <v>10</v>
      </c>
      <c r="D136" s="82" t="str">
        <f t="shared" si="1"/>
        <v>In Stock</v>
      </c>
      <c r="E136" s="86">
        <v>1.0</v>
      </c>
      <c r="F136" s="86">
        <v>10.0</v>
      </c>
      <c r="G136" s="83">
        <v>0.0</v>
      </c>
      <c r="H136" s="84">
        <f t="shared" si="2"/>
        <v>0</v>
      </c>
      <c r="J136" s="99" t="s">
        <v>863</v>
      </c>
      <c r="K136" s="100" t="s">
        <v>863</v>
      </c>
    </row>
    <row r="137">
      <c r="A137" s="85" t="s">
        <v>501</v>
      </c>
      <c r="B137" s="85" t="s">
        <v>501</v>
      </c>
      <c r="C137" s="81">
        <f>F137 + SUMIF(Purchase!C:C,Stock!B137,Purchase!D:D)-SUMIF(Sale!C:C,Stock!B137,Sale!D:D)</f>
        <v>120</v>
      </c>
      <c r="D137" s="82" t="str">
        <f t="shared" si="1"/>
        <v>In Stock</v>
      </c>
      <c r="E137" s="86">
        <v>1.0</v>
      </c>
      <c r="F137" s="86">
        <v>120.0</v>
      </c>
      <c r="G137" s="83">
        <v>0.0</v>
      </c>
      <c r="H137" s="84">
        <f t="shared" si="2"/>
        <v>0</v>
      </c>
      <c r="J137" s="99" t="s">
        <v>501</v>
      </c>
      <c r="K137" s="100" t="s">
        <v>501</v>
      </c>
    </row>
    <row r="138">
      <c r="A138" s="85" t="s">
        <v>864</v>
      </c>
      <c r="B138" s="85" t="s">
        <v>864</v>
      </c>
      <c r="C138" s="81">
        <f>F138 + SUMIF(Purchase!C:C,Stock!B138,Purchase!D:D)-SUMIF(Sale!C:C,Stock!B138,Sale!D:D)</f>
        <v>10</v>
      </c>
      <c r="D138" s="82" t="str">
        <f t="shared" si="1"/>
        <v>In Stock</v>
      </c>
      <c r="E138" s="86">
        <v>1.0</v>
      </c>
      <c r="F138" s="86">
        <v>10.0</v>
      </c>
      <c r="G138" s="83">
        <v>0.0</v>
      </c>
      <c r="H138" s="84">
        <f t="shared" si="2"/>
        <v>0</v>
      </c>
      <c r="J138" s="99" t="s">
        <v>864</v>
      </c>
      <c r="K138" s="100" t="s">
        <v>864</v>
      </c>
    </row>
    <row r="139">
      <c r="A139" s="85" t="s">
        <v>418</v>
      </c>
      <c r="B139" s="85" t="s">
        <v>418</v>
      </c>
      <c r="C139" s="81">
        <f>F139 + SUMIF(Purchase!C:C,Stock!B139,Purchase!D:D)-SUMIF(Sale!C:C,Stock!B139,Sale!D:D)</f>
        <v>10</v>
      </c>
      <c r="D139" s="82" t="str">
        <f t="shared" si="1"/>
        <v>In Stock</v>
      </c>
      <c r="E139" s="86">
        <v>1.0</v>
      </c>
      <c r="F139" s="86">
        <v>10.0</v>
      </c>
      <c r="G139" s="83">
        <v>0.0</v>
      </c>
      <c r="H139" s="84">
        <f t="shared" si="2"/>
        <v>0</v>
      </c>
      <c r="J139" s="99" t="s">
        <v>418</v>
      </c>
      <c r="K139" s="100" t="s">
        <v>418</v>
      </c>
    </row>
    <row r="140">
      <c r="A140" s="85" t="s">
        <v>562</v>
      </c>
      <c r="B140" s="85" t="s">
        <v>562</v>
      </c>
      <c r="C140" s="81">
        <f>F140 + SUMIF(Purchase!C:C,Stock!B140,Purchase!D:D)-SUMIF(Sale!C:C,Stock!B140,Sale!D:D)</f>
        <v>24</v>
      </c>
      <c r="D140" s="82" t="str">
        <f t="shared" si="1"/>
        <v>In Stock</v>
      </c>
      <c r="E140" s="86">
        <v>1.0</v>
      </c>
      <c r="F140" s="86">
        <v>24.0</v>
      </c>
      <c r="G140" s="83">
        <v>0.0</v>
      </c>
      <c r="H140" s="84">
        <f t="shared" si="2"/>
        <v>0</v>
      </c>
      <c r="J140" s="99" t="s">
        <v>562</v>
      </c>
      <c r="K140" s="100" t="s">
        <v>562</v>
      </c>
    </row>
    <row r="141">
      <c r="A141" s="85" t="s">
        <v>670</v>
      </c>
      <c r="B141" s="85" t="s">
        <v>670</v>
      </c>
      <c r="C141" s="81">
        <f>F141 + SUMIF(Purchase!C:C,Stock!B141,Purchase!D:D)-SUMIF(Sale!C:C,Stock!B141,Sale!D:D)</f>
        <v>6</v>
      </c>
      <c r="D141" s="82" t="str">
        <f t="shared" si="1"/>
        <v>In Stock</v>
      </c>
      <c r="E141" s="86">
        <v>1.0</v>
      </c>
      <c r="F141" s="86">
        <v>6.0</v>
      </c>
      <c r="G141" s="83">
        <v>0.0</v>
      </c>
      <c r="H141" s="84">
        <f t="shared" si="2"/>
        <v>0</v>
      </c>
      <c r="J141" s="99" t="s">
        <v>670</v>
      </c>
      <c r="K141" s="100" t="s">
        <v>670</v>
      </c>
    </row>
    <row r="142">
      <c r="A142" s="85" t="s">
        <v>210</v>
      </c>
      <c r="B142" s="85" t="s">
        <v>210</v>
      </c>
      <c r="C142" s="81">
        <f>F142 + SUMIF(Purchase!C:C,Stock!B142,Purchase!D:D)-SUMIF(Sale!C:C,Stock!B142,Sale!D:D)</f>
        <v>12</v>
      </c>
      <c r="D142" s="82" t="str">
        <f t="shared" si="1"/>
        <v>In Stock</v>
      </c>
      <c r="E142" s="86">
        <v>1.0</v>
      </c>
      <c r="F142" s="86">
        <v>12.0</v>
      </c>
      <c r="G142" s="83">
        <v>0.0</v>
      </c>
      <c r="H142" s="84">
        <f t="shared" si="2"/>
        <v>0</v>
      </c>
      <c r="J142" s="99" t="s">
        <v>210</v>
      </c>
      <c r="K142" s="100" t="s">
        <v>210</v>
      </c>
    </row>
    <row r="143">
      <c r="A143" s="85" t="s">
        <v>211</v>
      </c>
      <c r="B143" s="85" t="s">
        <v>211</v>
      </c>
      <c r="C143" s="81">
        <f>F143 + SUMIF(Purchase!C:C,Stock!B143,Purchase!D:D)-SUMIF(Sale!C:C,Stock!B143,Sale!D:D)</f>
        <v>6</v>
      </c>
      <c r="D143" s="82" t="str">
        <f t="shared" si="1"/>
        <v>In Stock</v>
      </c>
      <c r="E143" s="86">
        <v>1.0</v>
      </c>
      <c r="F143" s="86">
        <v>6.0</v>
      </c>
      <c r="G143" s="83">
        <v>0.0</v>
      </c>
      <c r="H143" s="84">
        <f t="shared" si="2"/>
        <v>0</v>
      </c>
      <c r="J143" s="99" t="s">
        <v>211</v>
      </c>
      <c r="K143" s="100" t="s">
        <v>211</v>
      </c>
    </row>
    <row r="144">
      <c r="A144" s="85" t="s">
        <v>199</v>
      </c>
      <c r="B144" s="85" t="s">
        <v>199</v>
      </c>
      <c r="C144" s="81">
        <f>F144 + SUMIF(Purchase!C:C,Stock!B144,Purchase!D:D)-SUMIF(Sale!C:C,Stock!B144,Sale!D:D)</f>
        <v>6</v>
      </c>
      <c r="D144" s="82" t="str">
        <f t="shared" si="1"/>
        <v>In Stock</v>
      </c>
      <c r="E144" s="86">
        <v>1.0</v>
      </c>
      <c r="F144" s="86">
        <v>6.0</v>
      </c>
      <c r="G144" s="83">
        <v>0.0</v>
      </c>
      <c r="H144" s="84">
        <f t="shared" si="2"/>
        <v>0</v>
      </c>
      <c r="J144" s="99" t="s">
        <v>199</v>
      </c>
      <c r="K144" s="100" t="s">
        <v>199</v>
      </c>
    </row>
    <row r="145">
      <c r="A145" s="85" t="s">
        <v>599</v>
      </c>
      <c r="B145" s="85" t="s">
        <v>599</v>
      </c>
      <c r="C145" s="81">
        <f>F145 + SUMIF(Purchase!C:C,Stock!B145,Purchase!D:D)-SUMIF(Sale!C:C,Stock!B145,Sale!D:D)</f>
        <v>30</v>
      </c>
      <c r="D145" s="82" t="str">
        <f t="shared" si="1"/>
        <v>In Stock</v>
      </c>
      <c r="E145" s="86">
        <v>1.0</v>
      </c>
      <c r="F145" s="86">
        <v>30.0</v>
      </c>
      <c r="G145" s="83">
        <v>0.0</v>
      </c>
      <c r="H145" s="84">
        <f t="shared" si="2"/>
        <v>0</v>
      </c>
      <c r="J145" s="99" t="s">
        <v>599</v>
      </c>
      <c r="K145" s="100" t="s">
        <v>599</v>
      </c>
    </row>
    <row r="146">
      <c r="A146" s="85" t="s">
        <v>865</v>
      </c>
      <c r="B146" s="85" t="s">
        <v>865</v>
      </c>
      <c r="C146" s="81">
        <f>F146 + SUMIF(Purchase!C:C,Stock!B146,Purchase!D:D)-SUMIF(Sale!C:C,Stock!B146,Sale!D:D)</f>
        <v>18</v>
      </c>
      <c r="D146" s="82" t="str">
        <f t="shared" si="1"/>
        <v>In Stock</v>
      </c>
      <c r="E146" s="86">
        <v>1.0</v>
      </c>
      <c r="F146" s="86">
        <v>18.0</v>
      </c>
      <c r="G146" s="83">
        <v>0.0</v>
      </c>
      <c r="H146" s="84">
        <f t="shared" si="2"/>
        <v>0</v>
      </c>
      <c r="J146" s="99" t="s">
        <v>865</v>
      </c>
      <c r="K146" s="100" t="s">
        <v>865</v>
      </c>
    </row>
    <row r="147">
      <c r="A147" s="85" t="s">
        <v>866</v>
      </c>
      <c r="B147" s="85" t="s">
        <v>866</v>
      </c>
      <c r="C147" s="81">
        <f>F147 + SUMIF(Purchase!C:C,Stock!B147,Purchase!D:D)-SUMIF(Sale!C:C,Stock!B147,Sale!D:D)</f>
        <v>40</v>
      </c>
      <c r="D147" s="82" t="str">
        <f t="shared" si="1"/>
        <v>In Stock</v>
      </c>
      <c r="E147" s="86">
        <v>1.0</v>
      </c>
      <c r="F147" s="86">
        <v>40.0</v>
      </c>
      <c r="G147" s="83">
        <v>0.0</v>
      </c>
      <c r="H147" s="84">
        <f t="shared" si="2"/>
        <v>0</v>
      </c>
      <c r="J147" s="99" t="s">
        <v>866</v>
      </c>
      <c r="K147" s="100" t="s">
        <v>866</v>
      </c>
    </row>
    <row r="148">
      <c r="A148" s="85" t="s">
        <v>867</v>
      </c>
      <c r="B148" s="85" t="s">
        <v>867</v>
      </c>
      <c r="C148" s="81">
        <f>F148 + SUMIF(Purchase!C:C,Stock!B148,Purchase!D:D)-SUMIF(Sale!C:C,Stock!B148,Sale!D:D)</f>
        <v>25</v>
      </c>
      <c r="D148" s="82" t="str">
        <f t="shared" si="1"/>
        <v>In Stock</v>
      </c>
      <c r="E148" s="86">
        <v>1.0</v>
      </c>
      <c r="F148" s="86">
        <v>25.0</v>
      </c>
      <c r="G148" s="83">
        <v>0.0</v>
      </c>
      <c r="H148" s="84">
        <f t="shared" si="2"/>
        <v>0</v>
      </c>
      <c r="J148" s="99" t="s">
        <v>867</v>
      </c>
      <c r="K148" s="100" t="s">
        <v>867</v>
      </c>
    </row>
    <row r="149">
      <c r="A149" s="85" t="s">
        <v>630</v>
      </c>
      <c r="B149" s="85" t="s">
        <v>630</v>
      </c>
      <c r="C149" s="81">
        <f>F149 + SUMIF(Purchase!C:C,Stock!B149,Purchase!D:D)-SUMIF(Sale!C:C,Stock!B149,Sale!D:D)</f>
        <v>20</v>
      </c>
      <c r="D149" s="82" t="str">
        <f t="shared" si="1"/>
        <v>In Stock</v>
      </c>
      <c r="E149" s="86">
        <v>1.0</v>
      </c>
      <c r="F149" s="86">
        <v>20.0</v>
      </c>
      <c r="G149" s="83">
        <v>0.0</v>
      </c>
      <c r="H149" s="84">
        <f t="shared" si="2"/>
        <v>0</v>
      </c>
      <c r="J149" s="99" t="s">
        <v>630</v>
      </c>
      <c r="K149" s="100" t="s">
        <v>630</v>
      </c>
    </row>
    <row r="150">
      <c r="A150" s="85" t="s">
        <v>719</v>
      </c>
      <c r="B150" s="85" t="s">
        <v>719</v>
      </c>
      <c r="C150" s="81">
        <f>F150 + SUMIF(Purchase!C:C,Stock!B150,Purchase!D:D)-SUMIF(Sale!C:C,Stock!B150,Sale!D:D)</f>
        <v>15</v>
      </c>
      <c r="D150" s="82" t="str">
        <f t="shared" si="1"/>
        <v>In Stock</v>
      </c>
      <c r="E150" s="86">
        <v>1.0</v>
      </c>
      <c r="F150" s="86">
        <v>15.0</v>
      </c>
      <c r="G150" s="83">
        <v>0.0</v>
      </c>
      <c r="H150" s="84">
        <f t="shared" si="2"/>
        <v>0</v>
      </c>
      <c r="J150" s="99" t="s">
        <v>719</v>
      </c>
      <c r="K150" s="100" t="s">
        <v>719</v>
      </c>
    </row>
    <row r="151">
      <c r="A151" s="85" t="s">
        <v>228</v>
      </c>
      <c r="B151" s="85" t="s">
        <v>228</v>
      </c>
      <c r="C151" s="81">
        <f>F151 + SUMIF(Purchase!C:C,Stock!B151,Purchase!D:D)-SUMIF(Sale!C:C,Stock!B151,Sale!D:D)</f>
        <v>20</v>
      </c>
      <c r="D151" s="82" t="str">
        <f t="shared" si="1"/>
        <v>In Stock</v>
      </c>
      <c r="E151" s="86">
        <v>1.0</v>
      </c>
      <c r="F151" s="86">
        <v>20.0</v>
      </c>
      <c r="G151" s="83">
        <v>0.0</v>
      </c>
      <c r="H151" s="84">
        <f t="shared" si="2"/>
        <v>0</v>
      </c>
      <c r="J151" s="99" t="s">
        <v>228</v>
      </c>
      <c r="K151" s="100" t="s">
        <v>228</v>
      </c>
    </row>
    <row r="152">
      <c r="A152" s="85" t="s">
        <v>672</v>
      </c>
      <c r="B152" s="85" t="s">
        <v>672</v>
      </c>
      <c r="C152" s="81">
        <f>F152 + SUMIF(Purchase!C:C,Stock!B152,Purchase!D:D)-SUMIF(Sale!C:C,Stock!B152,Sale!D:D)</f>
        <v>18</v>
      </c>
      <c r="D152" s="82" t="str">
        <f t="shared" si="1"/>
        <v>In Stock</v>
      </c>
      <c r="E152" s="86">
        <v>1.0</v>
      </c>
      <c r="F152" s="86">
        <v>18.0</v>
      </c>
      <c r="G152" s="83">
        <v>0.0</v>
      </c>
      <c r="H152" s="84">
        <f t="shared" si="2"/>
        <v>0</v>
      </c>
      <c r="J152" s="99" t="s">
        <v>672</v>
      </c>
      <c r="K152" s="100" t="s">
        <v>672</v>
      </c>
    </row>
    <row r="153">
      <c r="A153" s="85" t="s">
        <v>595</v>
      </c>
      <c r="B153" s="85" t="s">
        <v>595</v>
      </c>
      <c r="C153" s="81">
        <f>F153 + SUMIF(Purchase!C:C,Stock!B153,Purchase!D:D)-SUMIF(Sale!C:C,Stock!B153,Sale!D:D)</f>
        <v>12</v>
      </c>
      <c r="D153" s="82" t="str">
        <f t="shared" si="1"/>
        <v>In Stock</v>
      </c>
      <c r="E153" s="86">
        <v>1.0</v>
      </c>
      <c r="F153" s="86">
        <v>12.0</v>
      </c>
      <c r="G153" s="83">
        <v>0.0</v>
      </c>
      <c r="H153" s="84">
        <f t="shared" si="2"/>
        <v>0</v>
      </c>
      <c r="J153" s="99" t="s">
        <v>595</v>
      </c>
      <c r="K153" s="100" t="s">
        <v>595</v>
      </c>
    </row>
    <row r="154">
      <c r="A154" s="85" t="s">
        <v>550</v>
      </c>
      <c r="B154" s="85" t="s">
        <v>550</v>
      </c>
      <c r="C154" s="81">
        <f>F154 + SUMIF(Purchase!C:C,Stock!B154,Purchase!D:D)-SUMIF(Sale!C:C,Stock!B154,Sale!D:D)</f>
        <v>12</v>
      </c>
      <c r="D154" s="82" t="str">
        <f t="shared" si="1"/>
        <v>In Stock</v>
      </c>
      <c r="E154" s="86">
        <v>1.0</v>
      </c>
      <c r="F154" s="86">
        <v>12.0</v>
      </c>
      <c r="G154" s="83">
        <v>0.0</v>
      </c>
      <c r="H154" s="84">
        <f t="shared" si="2"/>
        <v>0</v>
      </c>
      <c r="J154" s="99" t="s">
        <v>550</v>
      </c>
      <c r="K154" s="100" t="s">
        <v>550</v>
      </c>
    </row>
    <row r="155">
      <c r="A155" s="85" t="s">
        <v>212</v>
      </c>
      <c r="B155" s="85" t="s">
        <v>212</v>
      </c>
      <c r="C155" s="81">
        <f>F155 + SUMIF(Purchase!C:C,Stock!B155,Purchase!D:D)-SUMIF(Sale!C:C,Stock!B155,Sale!D:D)</f>
        <v>6</v>
      </c>
      <c r="D155" s="82" t="str">
        <f t="shared" si="1"/>
        <v>In Stock</v>
      </c>
      <c r="E155" s="86">
        <v>1.0</v>
      </c>
      <c r="F155" s="86">
        <v>6.0</v>
      </c>
      <c r="G155" s="83">
        <v>0.0</v>
      </c>
      <c r="H155" s="84">
        <f t="shared" si="2"/>
        <v>0</v>
      </c>
      <c r="J155" s="99" t="s">
        <v>212</v>
      </c>
      <c r="K155" s="100" t="s">
        <v>212</v>
      </c>
    </row>
    <row r="156">
      <c r="A156" s="85" t="s">
        <v>662</v>
      </c>
      <c r="B156" s="85" t="s">
        <v>662</v>
      </c>
      <c r="C156" s="81">
        <f>F156 + SUMIF(Purchase!C:C,Stock!B156,Purchase!D:D)-SUMIF(Sale!C:C,Stock!B156,Sale!D:D)</f>
        <v>12</v>
      </c>
      <c r="D156" s="82" t="str">
        <f t="shared" si="1"/>
        <v>In Stock</v>
      </c>
      <c r="E156" s="86">
        <v>1.0</v>
      </c>
      <c r="F156" s="86">
        <v>12.0</v>
      </c>
      <c r="G156" s="83">
        <v>0.0</v>
      </c>
      <c r="H156" s="84">
        <f t="shared" si="2"/>
        <v>0</v>
      </c>
      <c r="J156" s="99" t="s">
        <v>662</v>
      </c>
      <c r="K156" s="100" t="s">
        <v>662</v>
      </c>
    </row>
    <row r="157">
      <c r="A157" s="85" t="s">
        <v>865</v>
      </c>
      <c r="B157" s="85" t="s">
        <v>865</v>
      </c>
      <c r="C157" s="81">
        <f>F157 + SUMIF(Purchase!C:C,Stock!B157,Purchase!D:D)-SUMIF(Sale!C:C,Stock!B157,Sale!D:D)</f>
        <v>24</v>
      </c>
      <c r="D157" s="82" t="str">
        <f t="shared" si="1"/>
        <v>In Stock</v>
      </c>
      <c r="E157" s="86">
        <v>1.0</v>
      </c>
      <c r="F157" s="86">
        <v>24.0</v>
      </c>
      <c r="G157" s="83">
        <v>0.0</v>
      </c>
      <c r="H157" s="84">
        <f t="shared" si="2"/>
        <v>0</v>
      </c>
      <c r="J157" s="99" t="s">
        <v>865</v>
      </c>
      <c r="K157" s="100" t="s">
        <v>865</v>
      </c>
    </row>
    <row r="158">
      <c r="A158" s="85"/>
      <c r="B158" s="85"/>
      <c r="C158" s="81">
        <f>F158 + SUMIF(Purchase!C:C,Stock!B158,Purchase!D:D)-SUMIF(Sale!C:C,Stock!B158,Sale!D:D)</f>
        <v>0</v>
      </c>
      <c r="D158" s="82" t="str">
        <f t="shared" si="1"/>
        <v>Low Stock</v>
      </c>
      <c r="E158" s="86">
        <v>1.0</v>
      </c>
      <c r="F158" s="86">
        <v>0.0</v>
      </c>
      <c r="G158" s="83">
        <v>0.0</v>
      </c>
      <c r="H158" s="84">
        <f t="shared" si="2"/>
        <v>0</v>
      </c>
    </row>
    <row r="159">
      <c r="A159" s="85"/>
      <c r="B159" s="85"/>
      <c r="C159" s="81">
        <f>F159 + SUMIF(Purchase!C:C,Stock!B159,Purchase!D:D)-SUMIF(Sale!C:C,Stock!B159,Sale!D:D)</f>
        <v>0</v>
      </c>
      <c r="D159" s="82" t="str">
        <f t="shared" si="1"/>
        <v>Low Stock</v>
      </c>
      <c r="E159" s="86">
        <v>1.0</v>
      </c>
      <c r="F159" s="86">
        <v>0.0</v>
      </c>
      <c r="G159" s="83">
        <v>0.0</v>
      </c>
      <c r="H159" s="84">
        <f t="shared" si="2"/>
        <v>0</v>
      </c>
    </row>
    <row r="160">
      <c r="A160" s="85"/>
      <c r="B160" s="85"/>
      <c r="C160" s="81">
        <f>F160 + SUMIF(Purchase!C:C,Stock!B160,Purchase!D:D)-SUMIF(Sale!C:C,Stock!B160,Sale!D:D)</f>
        <v>0</v>
      </c>
      <c r="D160" s="82" t="str">
        <f t="shared" si="1"/>
        <v>Low Stock</v>
      </c>
      <c r="E160" s="86">
        <v>1.0</v>
      </c>
      <c r="F160" s="86">
        <v>0.0</v>
      </c>
      <c r="G160" s="83">
        <v>0.0</v>
      </c>
      <c r="H160" s="84">
        <f t="shared" si="2"/>
        <v>0</v>
      </c>
    </row>
    <row r="161">
      <c r="A161" s="85"/>
      <c r="B161" s="85"/>
      <c r="C161" s="81">
        <f>F161 + SUMIF(Purchase!C:C,Stock!B161,Purchase!D:D)-SUMIF(Sale!C:C,Stock!B161,Sale!D:D)</f>
        <v>0</v>
      </c>
      <c r="D161" s="82" t="str">
        <f t="shared" si="1"/>
        <v>Low Stock</v>
      </c>
      <c r="E161" s="86">
        <v>1.0</v>
      </c>
      <c r="F161" s="86">
        <v>0.0</v>
      </c>
      <c r="G161" s="83">
        <v>0.0</v>
      </c>
      <c r="H161" s="84">
        <f t="shared" si="2"/>
        <v>0</v>
      </c>
    </row>
    <row r="162">
      <c r="A162" s="85"/>
      <c r="B162" s="85"/>
      <c r="C162" s="81">
        <f>F162 + SUMIF(Purchase!C:C,Stock!B162,Purchase!D:D)-SUMIF(Sale!C:C,Stock!B162,Sale!D:D)</f>
        <v>0</v>
      </c>
      <c r="D162" s="82" t="str">
        <f t="shared" si="1"/>
        <v>Low Stock</v>
      </c>
      <c r="E162" s="86">
        <v>1.0</v>
      </c>
      <c r="F162" s="86">
        <v>0.0</v>
      </c>
      <c r="G162" s="83">
        <v>0.0</v>
      </c>
      <c r="H162" s="84">
        <f t="shared" si="2"/>
        <v>0</v>
      </c>
    </row>
    <row r="163">
      <c r="A163" s="85"/>
      <c r="B163" s="85"/>
      <c r="C163" s="81">
        <f>F163 + SUMIF(Purchase!C:C,Stock!B163,Purchase!D:D)-SUMIF(Sale!C:C,Stock!B163,Sale!D:D)</f>
        <v>0</v>
      </c>
      <c r="D163" s="82" t="str">
        <f t="shared" si="1"/>
        <v>Low Stock</v>
      </c>
      <c r="E163" s="86">
        <v>1.0</v>
      </c>
      <c r="F163" s="86">
        <v>0.0</v>
      </c>
      <c r="G163" s="83">
        <v>0.0</v>
      </c>
      <c r="H163" s="84">
        <f t="shared" si="2"/>
        <v>0</v>
      </c>
    </row>
    <row r="164">
      <c r="A164" s="85"/>
      <c r="B164" s="85"/>
      <c r="C164" s="81">
        <f>F164 + SUMIF(Purchase!C:C,Stock!B164,Purchase!D:D)-SUMIF(Sale!C:C,Stock!B164,Sale!D:D)</f>
        <v>0</v>
      </c>
      <c r="D164" s="82" t="str">
        <f t="shared" si="1"/>
        <v>Low Stock</v>
      </c>
      <c r="E164" s="86">
        <v>1.0</v>
      </c>
      <c r="F164" s="86">
        <v>0.0</v>
      </c>
      <c r="G164" s="83">
        <v>0.0</v>
      </c>
      <c r="H164" s="84">
        <f t="shared" si="2"/>
        <v>0</v>
      </c>
    </row>
    <row r="165">
      <c r="A165" s="85"/>
      <c r="B165" s="85"/>
      <c r="C165" s="81">
        <f>F165 + SUMIF(Purchase!C:C,Stock!B165,Purchase!D:D)-SUMIF(Sale!C:C,Stock!B165,Sale!D:D)</f>
        <v>0</v>
      </c>
      <c r="D165" s="82" t="str">
        <f t="shared" si="1"/>
        <v>Low Stock</v>
      </c>
      <c r="E165" s="86">
        <v>1.0</v>
      </c>
      <c r="F165" s="86">
        <v>0.0</v>
      </c>
      <c r="G165" s="83">
        <v>0.0</v>
      </c>
      <c r="H165" s="84">
        <f t="shared" si="2"/>
        <v>0</v>
      </c>
    </row>
    <row r="166">
      <c r="A166" s="85"/>
      <c r="B166" s="85"/>
      <c r="C166" s="81">
        <f>F166 + SUMIF(Purchase!C:C,Stock!B166,Purchase!D:D)-SUMIF(Sale!C:C,Stock!B166,Sale!D:D)</f>
        <v>0</v>
      </c>
      <c r="D166" s="82" t="str">
        <f t="shared" si="1"/>
        <v>Low Stock</v>
      </c>
      <c r="E166" s="86">
        <v>1.0</v>
      </c>
      <c r="F166" s="86">
        <v>0.0</v>
      </c>
      <c r="G166" s="83">
        <v>0.0</v>
      </c>
      <c r="H166" s="84">
        <f t="shared" si="2"/>
        <v>0</v>
      </c>
    </row>
    <row r="167">
      <c r="A167" s="85"/>
      <c r="B167" s="85"/>
      <c r="C167" s="81">
        <f>F167 + SUMIF(Purchase!C:C,Stock!B167,Purchase!D:D)-SUMIF(Sale!C:C,Stock!B167,Sale!D:D)</f>
        <v>0</v>
      </c>
      <c r="D167" s="82" t="str">
        <f t="shared" si="1"/>
        <v>Low Stock</v>
      </c>
      <c r="E167" s="86">
        <v>1.0</v>
      </c>
      <c r="F167" s="86">
        <v>0.0</v>
      </c>
      <c r="G167" s="83">
        <v>0.0</v>
      </c>
      <c r="H167" s="84">
        <f t="shared" si="2"/>
        <v>0</v>
      </c>
    </row>
    <row r="168">
      <c r="A168" s="85"/>
      <c r="B168" s="85"/>
      <c r="C168" s="81">
        <f>F168 + SUMIF(Purchase!C:C,Stock!B168,Purchase!D:D)-SUMIF(Sale!C:C,Stock!B168,Sale!D:D)</f>
        <v>0</v>
      </c>
      <c r="D168" s="82" t="str">
        <f t="shared" si="1"/>
        <v>Low Stock</v>
      </c>
      <c r="E168" s="86">
        <v>1.0</v>
      </c>
      <c r="F168" s="86">
        <v>0.0</v>
      </c>
      <c r="G168" s="83">
        <v>0.0</v>
      </c>
      <c r="H168" s="84">
        <f t="shared" si="2"/>
        <v>0</v>
      </c>
    </row>
    <row r="169">
      <c r="A169" s="85"/>
      <c r="B169" s="85"/>
      <c r="C169" s="81">
        <f>F169 + SUMIF(Purchase!C:C,Stock!B169,Purchase!D:D)-SUMIF(Sale!C:C,Stock!B169,Sale!D:D)</f>
        <v>0</v>
      </c>
      <c r="D169" s="82" t="str">
        <f t="shared" si="1"/>
        <v>Low Stock</v>
      </c>
      <c r="E169" s="86">
        <v>1.0</v>
      </c>
      <c r="F169" s="86">
        <v>0.0</v>
      </c>
      <c r="G169" s="83">
        <v>0.0</v>
      </c>
      <c r="H169" s="84">
        <f t="shared" si="2"/>
        <v>0</v>
      </c>
    </row>
    <row r="170">
      <c r="A170" s="85"/>
      <c r="B170" s="85"/>
      <c r="C170" s="81">
        <f>F170 + SUMIF(Purchase!C:C,Stock!B170,Purchase!D:D)-SUMIF(Sale!C:C,Stock!B170,Sale!D:D)</f>
        <v>0</v>
      </c>
      <c r="D170" s="82" t="str">
        <f t="shared" si="1"/>
        <v>Low Stock</v>
      </c>
      <c r="E170" s="86">
        <v>1.0</v>
      </c>
      <c r="F170" s="86">
        <v>0.0</v>
      </c>
      <c r="G170" s="83">
        <v>0.0</v>
      </c>
      <c r="H170" s="84">
        <f t="shared" si="2"/>
        <v>0</v>
      </c>
    </row>
    <row r="171">
      <c r="A171" s="85"/>
      <c r="B171" s="85"/>
      <c r="C171" s="81">
        <f>F171 + SUMIF(Purchase!C:C,Stock!B171,Purchase!D:D)-SUMIF(Sale!C:C,Stock!B171,Sale!D:D)</f>
        <v>0</v>
      </c>
      <c r="D171" s="82" t="str">
        <f t="shared" si="1"/>
        <v>Low Stock</v>
      </c>
      <c r="E171" s="86">
        <v>1.0</v>
      </c>
      <c r="F171" s="86">
        <v>0.0</v>
      </c>
      <c r="G171" s="83">
        <v>0.0</v>
      </c>
      <c r="H171" s="84">
        <f t="shared" si="2"/>
        <v>0</v>
      </c>
    </row>
    <row r="172">
      <c r="A172" s="85"/>
      <c r="B172" s="85"/>
      <c r="C172" s="81">
        <f>F172 + SUMIF(Purchase!C:C,Stock!B172,Purchase!D:D)-SUMIF(Sale!C:C,Stock!B172,Sale!D:D)</f>
        <v>0</v>
      </c>
      <c r="D172" s="82" t="str">
        <f t="shared" si="1"/>
        <v>Low Stock</v>
      </c>
      <c r="E172" s="86">
        <v>1.0</v>
      </c>
      <c r="F172" s="86">
        <v>0.0</v>
      </c>
      <c r="G172" s="83">
        <v>0.0</v>
      </c>
      <c r="H172" s="84">
        <f t="shared" si="2"/>
        <v>0</v>
      </c>
    </row>
    <row r="173">
      <c r="A173" s="85"/>
      <c r="B173" s="85"/>
      <c r="C173" s="81">
        <f>F173 + SUMIF(Purchase!C:C,Stock!B173,Purchase!D:D)-SUMIF(Sale!C:C,Stock!B173,Sale!D:D)</f>
        <v>0</v>
      </c>
      <c r="D173" s="82" t="str">
        <f t="shared" si="1"/>
        <v>Low Stock</v>
      </c>
      <c r="E173" s="86">
        <v>1.0</v>
      </c>
      <c r="F173" s="86">
        <v>0.0</v>
      </c>
      <c r="G173" s="83">
        <v>0.0</v>
      </c>
      <c r="H173" s="84">
        <f t="shared" si="2"/>
        <v>0</v>
      </c>
    </row>
    <row r="174">
      <c r="A174" s="85"/>
      <c r="B174" s="85"/>
      <c r="C174" s="81">
        <f>F174 + SUMIF(Purchase!C:C,Stock!B174,Purchase!D:D)-SUMIF(Sale!C:C,Stock!B174,Sale!D:D)</f>
        <v>0</v>
      </c>
      <c r="D174" s="82" t="str">
        <f t="shared" si="1"/>
        <v>Low Stock</v>
      </c>
      <c r="E174" s="86">
        <v>1.0</v>
      </c>
      <c r="F174" s="86">
        <v>0.0</v>
      </c>
      <c r="G174" s="83">
        <v>0.0</v>
      </c>
      <c r="H174" s="84">
        <f t="shared" si="2"/>
        <v>0</v>
      </c>
    </row>
    <row r="175">
      <c r="A175" s="85"/>
      <c r="B175" s="85"/>
      <c r="C175" s="81">
        <f>F175 + SUMIF(Purchase!C:C,Stock!B175,Purchase!D:D)-SUMIF(Sale!C:C,Stock!B175,Sale!D:D)</f>
        <v>0</v>
      </c>
      <c r="D175" s="82" t="str">
        <f t="shared" si="1"/>
        <v>Low Stock</v>
      </c>
      <c r="E175" s="86">
        <v>1.0</v>
      </c>
      <c r="F175" s="86">
        <v>0.0</v>
      </c>
      <c r="G175" s="83">
        <v>0.0</v>
      </c>
      <c r="H175" s="84">
        <f t="shared" si="2"/>
        <v>0</v>
      </c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  <row r="202">
      <c r="A202" s="87"/>
    </row>
    <row r="203">
      <c r="A203" s="87"/>
    </row>
    <row r="204">
      <c r="A204" s="87"/>
    </row>
    <row r="205">
      <c r="A205" s="87"/>
    </row>
    <row r="206">
      <c r="A206" s="87"/>
    </row>
    <row r="207">
      <c r="A207" s="87"/>
    </row>
    <row r="208">
      <c r="A208" s="87"/>
    </row>
    <row r="209">
      <c r="A209" s="87"/>
    </row>
    <row r="210">
      <c r="A210" s="87"/>
    </row>
    <row r="211">
      <c r="A211" s="87"/>
    </row>
    <row r="212">
      <c r="A212" s="87"/>
    </row>
    <row r="213">
      <c r="A213" s="87"/>
    </row>
    <row r="214">
      <c r="A214" s="87"/>
    </row>
    <row r="215">
      <c r="A215" s="87"/>
    </row>
    <row r="216">
      <c r="A216" s="87"/>
    </row>
    <row r="217">
      <c r="A217" s="87"/>
    </row>
    <row r="218">
      <c r="A218" s="87"/>
    </row>
    <row r="219">
      <c r="A219" s="87"/>
    </row>
    <row r="220">
      <c r="A220" s="87"/>
    </row>
    <row r="221">
      <c r="A221" s="87"/>
    </row>
    <row r="222">
      <c r="A222" s="87"/>
    </row>
    <row r="223">
      <c r="A223" s="87"/>
    </row>
    <row r="224">
      <c r="A224" s="87"/>
    </row>
    <row r="225">
      <c r="A225" s="87"/>
    </row>
    <row r="226">
      <c r="A226" s="87"/>
    </row>
    <row r="227">
      <c r="A227" s="87"/>
    </row>
    <row r="228">
      <c r="A228" s="87"/>
    </row>
    <row r="229">
      <c r="A229" s="87"/>
    </row>
    <row r="230">
      <c r="A230" s="87"/>
    </row>
    <row r="231">
      <c r="A231" s="87"/>
    </row>
    <row r="232">
      <c r="A232" s="87"/>
    </row>
    <row r="233">
      <c r="A233" s="87"/>
    </row>
    <row r="234">
      <c r="A234" s="87"/>
    </row>
    <row r="235">
      <c r="A235" s="87"/>
    </row>
    <row r="236">
      <c r="A236" s="87"/>
    </row>
    <row r="237">
      <c r="A237" s="87"/>
    </row>
    <row r="238">
      <c r="A238" s="87"/>
    </row>
    <row r="239">
      <c r="A239" s="87"/>
    </row>
    <row r="240">
      <c r="A240" s="87"/>
    </row>
    <row r="241">
      <c r="A241" s="87"/>
    </row>
    <row r="242">
      <c r="A242" s="87"/>
    </row>
    <row r="243">
      <c r="A243" s="87"/>
    </row>
    <row r="244">
      <c r="A244" s="87"/>
    </row>
    <row r="245">
      <c r="A245" s="87"/>
    </row>
    <row r="246">
      <c r="A246" s="87"/>
    </row>
    <row r="247">
      <c r="A247" s="87"/>
    </row>
    <row r="248">
      <c r="A248" s="87"/>
    </row>
    <row r="249">
      <c r="A249" s="87"/>
    </row>
    <row r="250">
      <c r="A250" s="87"/>
    </row>
    <row r="251">
      <c r="A251" s="87"/>
    </row>
    <row r="252">
      <c r="A252" s="87"/>
    </row>
    <row r="253">
      <c r="A253" s="87"/>
    </row>
    <row r="254">
      <c r="A254" s="87"/>
    </row>
    <row r="255">
      <c r="A255" s="87"/>
    </row>
    <row r="256">
      <c r="A256" s="87"/>
    </row>
    <row r="257">
      <c r="A257" s="87"/>
    </row>
    <row r="258">
      <c r="A258" s="87"/>
    </row>
    <row r="259">
      <c r="A259" s="87"/>
    </row>
    <row r="260">
      <c r="A260" s="87"/>
    </row>
    <row r="261">
      <c r="A261" s="87"/>
    </row>
    <row r="262">
      <c r="A262" s="87"/>
    </row>
    <row r="263">
      <c r="A263" s="87"/>
    </row>
    <row r="264">
      <c r="A264" s="87"/>
    </row>
    <row r="265">
      <c r="A265" s="87"/>
    </row>
    <row r="266">
      <c r="A266" s="87"/>
    </row>
    <row r="267">
      <c r="A267" s="87"/>
    </row>
    <row r="268">
      <c r="A268" s="87"/>
    </row>
    <row r="269">
      <c r="A269" s="87"/>
    </row>
    <row r="270">
      <c r="A270" s="87"/>
    </row>
    <row r="271">
      <c r="A271" s="87"/>
    </row>
    <row r="272">
      <c r="A272" s="87"/>
    </row>
    <row r="273">
      <c r="A273" s="87"/>
    </row>
    <row r="274">
      <c r="A274" s="87"/>
    </row>
    <row r="275">
      <c r="A275" s="87"/>
    </row>
    <row r="276">
      <c r="A276" s="87"/>
    </row>
    <row r="277">
      <c r="A277" s="87"/>
    </row>
    <row r="278">
      <c r="A278" s="87"/>
    </row>
    <row r="279">
      <c r="A279" s="87"/>
    </row>
    <row r="280">
      <c r="A280" s="87"/>
    </row>
    <row r="281">
      <c r="A281" s="87"/>
    </row>
    <row r="282">
      <c r="A282" s="87"/>
    </row>
    <row r="283">
      <c r="A283" s="87"/>
    </row>
    <row r="284">
      <c r="A284" s="87"/>
    </row>
    <row r="285">
      <c r="A285" s="87"/>
    </row>
    <row r="286">
      <c r="A286" s="87"/>
    </row>
    <row r="287">
      <c r="A287" s="87"/>
    </row>
    <row r="288">
      <c r="A288" s="87"/>
    </row>
    <row r="289">
      <c r="A289" s="87"/>
    </row>
    <row r="290">
      <c r="A290" s="87"/>
    </row>
    <row r="291">
      <c r="A291" s="87"/>
    </row>
    <row r="292">
      <c r="A292" s="87"/>
    </row>
    <row r="293">
      <c r="A293" s="87"/>
    </row>
    <row r="294">
      <c r="A294" s="87"/>
    </row>
    <row r="295">
      <c r="A295" s="87"/>
    </row>
    <row r="296">
      <c r="A296" s="87"/>
    </row>
    <row r="297">
      <c r="A297" s="87"/>
    </row>
    <row r="298">
      <c r="A298" s="87"/>
    </row>
    <row r="299">
      <c r="A299" s="87"/>
    </row>
    <row r="300">
      <c r="A300" s="87"/>
    </row>
    <row r="301">
      <c r="A301" s="87"/>
    </row>
    <row r="302">
      <c r="A302" s="87"/>
    </row>
    <row r="303">
      <c r="A303" s="87"/>
    </row>
    <row r="304">
      <c r="A304" s="87"/>
    </row>
    <row r="305">
      <c r="A305" s="87"/>
    </row>
    <row r="306">
      <c r="A306" s="87"/>
    </row>
    <row r="307">
      <c r="A307" s="87"/>
    </row>
    <row r="308">
      <c r="A308" s="87"/>
    </row>
    <row r="309">
      <c r="A309" s="87"/>
    </row>
    <row r="310">
      <c r="A310" s="87"/>
    </row>
    <row r="311">
      <c r="A311" s="87"/>
    </row>
    <row r="312">
      <c r="A312" s="87"/>
    </row>
    <row r="313">
      <c r="A313" s="87"/>
    </row>
    <row r="314">
      <c r="A314" s="87"/>
    </row>
    <row r="315">
      <c r="A315" s="87"/>
    </row>
    <row r="316">
      <c r="A316" s="87"/>
    </row>
    <row r="317">
      <c r="A317" s="87"/>
    </row>
    <row r="318">
      <c r="A318" s="87"/>
    </row>
    <row r="319">
      <c r="A319" s="87"/>
    </row>
    <row r="320">
      <c r="A320" s="87"/>
    </row>
    <row r="321">
      <c r="A321" s="87"/>
    </row>
    <row r="322">
      <c r="A322" s="87"/>
    </row>
    <row r="323">
      <c r="A323" s="87"/>
    </row>
    <row r="324">
      <c r="A324" s="87"/>
    </row>
    <row r="325">
      <c r="A325" s="87"/>
    </row>
    <row r="326">
      <c r="A326" s="87"/>
    </row>
    <row r="327">
      <c r="A327" s="87"/>
    </row>
    <row r="328">
      <c r="A328" s="87"/>
    </row>
    <row r="329">
      <c r="A329" s="87"/>
    </row>
    <row r="330">
      <c r="A330" s="87"/>
    </row>
    <row r="331">
      <c r="A331" s="87"/>
    </row>
    <row r="332">
      <c r="A332" s="87"/>
    </row>
    <row r="333">
      <c r="A333" s="87"/>
    </row>
    <row r="334">
      <c r="A334" s="87"/>
    </row>
    <row r="335">
      <c r="A335" s="87"/>
    </row>
    <row r="336">
      <c r="A336" s="87"/>
    </row>
    <row r="337">
      <c r="A337" s="87"/>
    </row>
    <row r="338">
      <c r="A338" s="87"/>
    </row>
    <row r="339">
      <c r="A339" s="87"/>
    </row>
    <row r="340">
      <c r="A340" s="87"/>
    </row>
    <row r="341">
      <c r="A341" s="87"/>
    </row>
    <row r="342">
      <c r="A342" s="87"/>
    </row>
    <row r="343">
      <c r="A343" s="87"/>
    </row>
    <row r="344">
      <c r="A344" s="87"/>
    </row>
    <row r="345">
      <c r="A345" s="87"/>
    </row>
    <row r="346">
      <c r="A346" s="87"/>
    </row>
    <row r="347">
      <c r="A347" s="87"/>
    </row>
    <row r="348">
      <c r="A348" s="87"/>
    </row>
    <row r="349">
      <c r="A349" s="87"/>
    </row>
    <row r="350">
      <c r="A350" s="87"/>
    </row>
    <row r="351">
      <c r="A351" s="87"/>
    </row>
    <row r="352">
      <c r="A352" s="87"/>
    </row>
    <row r="353">
      <c r="A353" s="87"/>
    </row>
    <row r="354">
      <c r="A354" s="87"/>
    </row>
    <row r="355">
      <c r="A355" s="87"/>
    </row>
    <row r="356">
      <c r="A356" s="87"/>
    </row>
    <row r="357">
      <c r="A357" s="87"/>
    </row>
    <row r="358">
      <c r="A358" s="87"/>
    </row>
    <row r="359">
      <c r="A359" s="87"/>
    </row>
    <row r="360">
      <c r="A360" s="87"/>
    </row>
    <row r="361">
      <c r="A361" s="87"/>
    </row>
    <row r="362">
      <c r="A362" s="87"/>
    </row>
    <row r="363">
      <c r="A363" s="87"/>
    </row>
    <row r="364">
      <c r="A364" s="87"/>
    </row>
    <row r="365">
      <c r="A365" s="87"/>
    </row>
    <row r="366">
      <c r="A366" s="87"/>
    </row>
    <row r="367">
      <c r="A367" s="87"/>
    </row>
    <row r="368">
      <c r="A368" s="87"/>
    </row>
    <row r="369">
      <c r="A369" s="87"/>
    </row>
    <row r="370">
      <c r="A370" s="87"/>
    </row>
    <row r="371">
      <c r="A371" s="87"/>
    </row>
    <row r="372">
      <c r="A372" s="87"/>
    </row>
    <row r="373">
      <c r="A373" s="87"/>
    </row>
    <row r="374">
      <c r="A374" s="87"/>
    </row>
    <row r="375">
      <c r="A375" s="87"/>
    </row>
    <row r="376">
      <c r="A376" s="87"/>
    </row>
    <row r="377">
      <c r="A377" s="87"/>
    </row>
    <row r="378">
      <c r="A378" s="87"/>
    </row>
    <row r="379">
      <c r="A379" s="87"/>
    </row>
    <row r="380">
      <c r="A380" s="87"/>
    </row>
    <row r="381">
      <c r="A381" s="87"/>
    </row>
    <row r="382">
      <c r="A382" s="87"/>
    </row>
    <row r="383">
      <c r="A383" s="87"/>
    </row>
    <row r="384">
      <c r="A384" s="87"/>
    </row>
    <row r="385">
      <c r="A385" s="87"/>
    </row>
    <row r="386">
      <c r="A386" s="87"/>
    </row>
    <row r="387">
      <c r="A387" s="87"/>
    </row>
    <row r="388">
      <c r="A388" s="87"/>
    </row>
    <row r="389">
      <c r="A389" s="87"/>
    </row>
    <row r="390">
      <c r="A390" s="87"/>
    </row>
    <row r="391">
      <c r="A391" s="87"/>
    </row>
    <row r="392">
      <c r="A392" s="87"/>
    </row>
    <row r="393">
      <c r="A393" s="87"/>
    </row>
    <row r="394">
      <c r="A394" s="87"/>
    </row>
    <row r="395">
      <c r="A395" s="87"/>
    </row>
    <row r="396">
      <c r="A396" s="87"/>
    </row>
    <row r="397">
      <c r="A397" s="87"/>
    </row>
    <row r="398">
      <c r="A398" s="87"/>
    </row>
    <row r="399">
      <c r="A399" s="87"/>
    </row>
    <row r="400">
      <c r="A400" s="87"/>
    </row>
    <row r="401">
      <c r="A401" s="87"/>
    </row>
    <row r="402">
      <c r="A402" s="87"/>
    </row>
    <row r="403">
      <c r="A403" s="87"/>
    </row>
    <row r="404">
      <c r="A404" s="87"/>
    </row>
    <row r="405">
      <c r="A405" s="87"/>
    </row>
    <row r="406">
      <c r="A406" s="87"/>
    </row>
    <row r="407">
      <c r="A407" s="87"/>
    </row>
    <row r="408">
      <c r="A408" s="87"/>
    </row>
    <row r="409">
      <c r="A409" s="87"/>
    </row>
    <row r="410">
      <c r="A410" s="87"/>
    </row>
    <row r="411">
      <c r="A411" s="87"/>
    </row>
    <row r="412">
      <c r="A412" s="87"/>
    </row>
    <row r="413">
      <c r="A413" s="87"/>
    </row>
    <row r="414">
      <c r="A414" s="87"/>
    </row>
    <row r="415">
      <c r="A415" s="87"/>
    </row>
    <row r="416">
      <c r="A416" s="87"/>
    </row>
    <row r="417">
      <c r="A417" s="87"/>
    </row>
    <row r="418">
      <c r="A418" s="87"/>
    </row>
    <row r="419">
      <c r="A419" s="87"/>
    </row>
    <row r="420">
      <c r="A420" s="87"/>
    </row>
    <row r="421">
      <c r="A421" s="87"/>
    </row>
    <row r="422">
      <c r="A422" s="87"/>
    </row>
    <row r="423">
      <c r="A423" s="87"/>
    </row>
    <row r="424">
      <c r="A424" s="87"/>
    </row>
    <row r="425">
      <c r="A425" s="87"/>
    </row>
    <row r="426">
      <c r="A426" s="87"/>
    </row>
    <row r="427">
      <c r="A427" s="87"/>
    </row>
    <row r="428">
      <c r="A428" s="87"/>
    </row>
    <row r="429">
      <c r="A429" s="87"/>
    </row>
    <row r="430">
      <c r="A430" s="87"/>
    </row>
    <row r="431">
      <c r="A431" s="87"/>
    </row>
    <row r="432">
      <c r="A432" s="87"/>
    </row>
    <row r="433">
      <c r="A433" s="87"/>
    </row>
    <row r="434">
      <c r="A434" s="87"/>
    </row>
    <row r="435">
      <c r="A435" s="87"/>
    </row>
    <row r="436">
      <c r="A436" s="87"/>
    </row>
    <row r="437">
      <c r="A437" s="87"/>
    </row>
    <row r="438">
      <c r="A438" s="87"/>
    </row>
    <row r="439">
      <c r="A439" s="87"/>
    </row>
    <row r="440">
      <c r="A440" s="87"/>
    </row>
    <row r="441">
      <c r="A441" s="87"/>
    </row>
    <row r="442">
      <c r="A442" s="87"/>
    </row>
    <row r="443">
      <c r="A443" s="87"/>
    </row>
    <row r="444">
      <c r="A444" s="87"/>
    </row>
    <row r="445">
      <c r="A445" s="87"/>
    </row>
    <row r="446">
      <c r="A446" s="87"/>
    </row>
    <row r="447">
      <c r="A447" s="87"/>
    </row>
    <row r="448">
      <c r="A448" s="87"/>
    </row>
    <row r="449">
      <c r="A449" s="87"/>
    </row>
    <row r="450">
      <c r="A450" s="87"/>
    </row>
    <row r="451">
      <c r="A451" s="87"/>
    </row>
    <row r="452">
      <c r="A452" s="87"/>
    </row>
    <row r="453">
      <c r="A453" s="87"/>
    </row>
    <row r="454">
      <c r="A454" s="87"/>
    </row>
    <row r="455">
      <c r="A455" s="87"/>
    </row>
    <row r="456">
      <c r="A456" s="87"/>
    </row>
    <row r="457">
      <c r="A457" s="87"/>
    </row>
    <row r="458">
      <c r="A458" s="87"/>
    </row>
    <row r="459">
      <c r="A459" s="87"/>
    </row>
    <row r="460">
      <c r="A460" s="87"/>
    </row>
    <row r="461">
      <c r="A461" s="87"/>
    </row>
    <row r="462">
      <c r="A462" s="87"/>
    </row>
    <row r="463">
      <c r="A463" s="87"/>
    </row>
    <row r="464">
      <c r="A464" s="87"/>
    </row>
    <row r="465">
      <c r="A465" s="87"/>
    </row>
    <row r="466">
      <c r="A466" s="87"/>
    </row>
    <row r="467">
      <c r="A467" s="87"/>
    </row>
    <row r="468">
      <c r="A468" s="87"/>
    </row>
    <row r="469">
      <c r="A469" s="87"/>
    </row>
    <row r="470">
      <c r="A470" s="87"/>
    </row>
    <row r="471">
      <c r="A471" s="87"/>
    </row>
    <row r="472">
      <c r="A472" s="87"/>
    </row>
    <row r="473">
      <c r="A473" s="87"/>
    </row>
    <row r="474">
      <c r="A474" s="87"/>
    </row>
    <row r="475">
      <c r="A475" s="87"/>
    </row>
    <row r="476">
      <c r="A476" s="87"/>
    </row>
    <row r="477">
      <c r="A477" s="87"/>
    </row>
    <row r="478">
      <c r="A478" s="87"/>
    </row>
    <row r="479">
      <c r="A479" s="87"/>
    </row>
    <row r="480">
      <c r="A480" s="87"/>
    </row>
    <row r="481">
      <c r="A481" s="87"/>
    </row>
    <row r="482">
      <c r="A482" s="87"/>
    </row>
    <row r="483">
      <c r="A483" s="87"/>
    </row>
    <row r="484">
      <c r="A484" s="87"/>
    </row>
    <row r="485">
      <c r="A485" s="87"/>
    </row>
    <row r="486">
      <c r="A486" s="87"/>
    </row>
    <row r="487">
      <c r="A487" s="87"/>
    </row>
    <row r="488">
      <c r="A488" s="87"/>
    </row>
    <row r="489">
      <c r="A489" s="87"/>
    </row>
    <row r="490">
      <c r="A490" s="87"/>
    </row>
    <row r="491">
      <c r="A491" s="87"/>
    </row>
    <row r="492">
      <c r="A492" s="87"/>
    </row>
    <row r="493">
      <c r="A493" s="87"/>
    </row>
    <row r="494">
      <c r="A494" s="87"/>
    </row>
    <row r="495">
      <c r="A495" s="87"/>
    </row>
  </sheetData>
  <autoFilter ref="$A$2:$H$175"/>
  <mergeCells count="1">
    <mergeCell ref="A1:D1"/>
  </mergeCells>
  <printOptions horizontalCentered="1" verticalCentered="1"/>
  <pageMargins bottom="0.35433070866141736" footer="0.0" header="0.0" left="0.7086614173228347" right="0.7086614173228347" top="0.35433070866141736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6.29"/>
    <col customWidth="1" min="3" max="3" width="50.57"/>
    <col customWidth="1" min="4" max="4" width="16.57"/>
    <col customWidth="1" min="5" max="5" width="10.57"/>
    <col customWidth="1" min="6" max="26" width="8.71"/>
  </cols>
  <sheetData>
    <row r="1" ht="27.75" customHeight="1">
      <c r="A1" s="91" t="s">
        <v>859</v>
      </c>
      <c r="B1" s="5"/>
      <c r="C1" s="5"/>
      <c r="D1" s="5"/>
      <c r="E1" s="11"/>
    </row>
    <row r="2" ht="27.75" customHeight="1">
      <c r="A2" s="17"/>
      <c r="B2" s="18"/>
      <c r="C2" s="18"/>
      <c r="D2" s="18"/>
      <c r="E2" s="20"/>
    </row>
    <row r="3">
      <c r="A3" s="92" t="s">
        <v>860</v>
      </c>
      <c r="B3" s="93" t="s">
        <v>738</v>
      </c>
      <c r="C3" s="94" t="s">
        <v>739</v>
      </c>
      <c r="D3" s="93" t="s">
        <v>861</v>
      </c>
      <c r="E3" s="80" t="s">
        <v>862</v>
      </c>
    </row>
    <row r="4" ht="15.75" customHeight="1">
      <c r="A4" s="95"/>
      <c r="B4" s="96"/>
      <c r="C4" s="97" t="str">
        <f>VLOOKUP(B4,Stock!$A$2:$B$133,2,0)</f>
        <v>#N/A</v>
      </c>
      <c r="D4" s="95"/>
      <c r="E4" s="98"/>
    </row>
    <row r="5" ht="15.75" customHeight="1">
      <c r="A5" s="95"/>
      <c r="B5" s="96"/>
      <c r="C5" s="97" t="str">
        <f>VLOOKUP(B5,Stock!$A$2:$B$133,2,0)</f>
        <v>#N/A</v>
      </c>
      <c r="D5" s="95"/>
      <c r="E5" s="98"/>
    </row>
    <row r="6" ht="15.75" customHeight="1">
      <c r="A6" s="95"/>
      <c r="B6" s="96"/>
      <c r="C6" s="97" t="str">
        <f>VLOOKUP(B6,Stock!$A$2:$B$133,2,0)</f>
        <v>#N/A</v>
      </c>
      <c r="D6" s="95"/>
      <c r="E6" s="98"/>
    </row>
    <row r="7" ht="15.75" customHeight="1">
      <c r="A7" s="95"/>
      <c r="B7" s="96"/>
      <c r="C7" s="97" t="str">
        <f>VLOOKUP(B7,Stock!$A$2:$B$133,2,0)</f>
        <v>#N/A</v>
      </c>
      <c r="D7" s="95"/>
      <c r="E7" s="98"/>
    </row>
    <row r="8" ht="15.75" customHeight="1">
      <c r="A8" s="95"/>
      <c r="B8" s="96"/>
      <c r="C8" s="97" t="str">
        <f>VLOOKUP(B8,Stock!$A$2:$B$133,2,0)</f>
        <v>#N/A</v>
      </c>
      <c r="D8" s="95"/>
      <c r="E8" s="98"/>
    </row>
    <row r="9" ht="15.75" customHeight="1">
      <c r="A9" s="95"/>
      <c r="B9" s="96"/>
      <c r="C9" s="97" t="str">
        <f>VLOOKUP(B9,Stock!$A$2:$B$133,2,0)</f>
        <v>#N/A</v>
      </c>
      <c r="D9" s="95"/>
      <c r="E9" s="98"/>
    </row>
    <row r="10" ht="15.75" customHeight="1">
      <c r="A10" s="95"/>
      <c r="B10" s="96"/>
      <c r="C10" s="97" t="str">
        <f>VLOOKUP(B10,Stock!$A$2:$B$133,2,0)</f>
        <v>#N/A</v>
      </c>
      <c r="D10" s="95"/>
      <c r="E10" s="98"/>
    </row>
    <row r="11" ht="15.75" customHeight="1">
      <c r="A11" s="95"/>
      <c r="B11" s="96"/>
      <c r="C11" s="97" t="str">
        <f>VLOOKUP(B11,Stock!$A$2:$B$133,2,0)</f>
        <v>#N/A</v>
      </c>
      <c r="D11" s="95"/>
      <c r="E11" s="98"/>
    </row>
    <row r="12" ht="15.75" customHeight="1">
      <c r="A12" s="95"/>
      <c r="B12" s="96"/>
      <c r="C12" s="97" t="str">
        <f>VLOOKUP(B12,Stock!$A$2:$B$133,2,0)</f>
        <v>#N/A</v>
      </c>
      <c r="D12" s="95"/>
      <c r="E12" s="98"/>
    </row>
    <row r="13" ht="15.75" customHeight="1">
      <c r="A13" s="95"/>
      <c r="B13" s="96"/>
      <c r="C13" s="97" t="str">
        <f>VLOOKUP(B13,Stock!$A$2:$B$133,2,0)</f>
        <v>#N/A</v>
      </c>
      <c r="D13" s="95"/>
      <c r="E13" s="98"/>
    </row>
    <row r="14" ht="15.75" customHeight="1">
      <c r="A14" s="95"/>
      <c r="B14" s="96"/>
      <c r="C14" s="97" t="str">
        <f>VLOOKUP(B14,Stock!$A$2:$B$133,2,0)</f>
        <v>#N/A</v>
      </c>
      <c r="D14" s="95"/>
      <c r="E14" s="98"/>
    </row>
    <row r="15" ht="15.75" customHeight="1">
      <c r="A15" s="95"/>
      <c r="B15" s="96"/>
      <c r="C15" s="97" t="str">
        <f>VLOOKUP(B15,Stock!$A$2:$B$133,2,0)</f>
        <v>#N/A</v>
      </c>
      <c r="D15" s="95"/>
      <c r="E15" s="98"/>
    </row>
    <row r="16" ht="15.75" customHeight="1">
      <c r="A16" s="95"/>
      <c r="B16" s="96"/>
      <c r="C16" s="97" t="str">
        <f>VLOOKUP(B16,Stock!$A$2:$B$133,2,0)</f>
        <v>#N/A</v>
      </c>
      <c r="D16" s="95"/>
      <c r="E16" s="98"/>
    </row>
    <row r="17" ht="15.75" customHeight="1">
      <c r="A17" s="95"/>
      <c r="B17" s="96"/>
      <c r="C17" s="97" t="str">
        <f>VLOOKUP(B17,Stock!$A$2:$B$133,2,0)</f>
        <v>#N/A</v>
      </c>
      <c r="D17" s="95"/>
      <c r="E17" s="98"/>
    </row>
    <row r="18" ht="15.75" customHeight="1">
      <c r="A18" s="95"/>
      <c r="B18" s="96"/>
      <c r="C18" s="97" t="str">
        <f>VLOOKUP(B18,Stock!$A$2:$B$133,2,0)</f>
        <v>#N/A</v>
      </c>
      <c r="D18" s="95"/>
      <c r="E18" s="98"/>
    </row>
    <row r="19" ht="15.75" customHeight="1">
      <c r="A19" s="95"/>
      <c r="B19" s="96"/>
      <c r="C19" s="97" t="str">
        <f>VLOOKUP(B19,Stock!$A$2:$B$133,2,0)</f>
        <v>#N/A</v>
      </c>
      <c r="D19" s="95"/>
      <c r="E19" s="98"/>
    </row>
    <row r="20" ht="15.75" customHeight="1">
      <c r="A20" s="95"/>
      <c r="B20" s="96"/>
      <c r="C20" s="97" t="str">
        <f>VLOOKUP(B20,Stock!$A$2:$B$133,2,0)</f>
        <v>#N/A</v>
      </c>
      <c r="D20" s="95"/>
      <c r="E20" s="98"/>
    </row>
    <row r="21" ht="15.75" customHeight="1">
      <c r="A21" s="95"/>
      <c r="B21" s="96"/>
      <c r="C21" s="97" t="str">
        <f>VLOOKUP(B21,Stock!$A$2:$B$133,2,0)</f>
        <v>#N/A</v>
      </c>
      <c r="D21" s="95"/>
      <c r="E21" s="98"/>
    </row>
    <row r="22" ht="15.75" customHeight="1">
      <c r="A22" s="95"/>
      <c r="B22" s="96"/>
      <c r="C22" s="97" t="str">
        <f>VLOOKUP(B22,Stock!$A$2:$B$133,2,0)</f>
        <v>#N/A</v>
      </c>
      <c r="D22" s="95"/>
      <c r="E22" s="98"/>
    </row>
    <row r="23" ht="15.75" customHeight="1">
      <c r="A23" s="95"/>
      <c r="B23" s="96"/>
      <c r="C23" s="97" t="str">
        <f>VLOOKUP(B23,Stock!$A$2:$B$133,2,0)</f>
        <v>#N/A</v>
      </c>
      <c r="D23" s="95"/>
      <c r="E23" s="98"/>
    </row>
    <row r="24" ht="15.75" customHeight="1">
      <c r="A24" s="95"/>
      <c r="B24" s="96"/>
      <c r="C24" s="97" t="str">
        <f>VLOOKUP(B24,Stock!$A$2:$B$133,2,0)</f>
        <v>#N/A</v>
      </c>
      <c r="D24" s="95"/>
      <c r="E24" s="98"/>
    </row>
    <row r="25" ht="15.75" customHeight="1">
      <c r="A25" s="95"/>
      <c r="B25" s="96"/>
      <c r="C25" s="97" t="str">
        <f>VLOOKUP(B25,Stock!$A$2:$B$133,2,0)</f>
        <v>#N/A</v>
      </c>
      <c r="D25" s="95"/>
      <c r="E25" s="98"/>
    </row>
    <row r="26" ht="15.75" customHeight="1">
      <c r="A26" s="95"/>
      <c r="B26" s="96"/>
      <c r="C26" s="97" t="str">
        <f>VLOOKUP(B26,Stock!$A$2:$B$133,2,0)</f>
        <v>#N/A</v>
      </c>
      <c r="D26" s="95"/>
      <c r="E26" s="98"/>
    </row>
    <row r="27" ht="15.75" customHeight="1">
      <c r="A27" s="95"/>
      <c r="B27" s="96"/>
      <c r="C27" s="97" t="str">
        <f>VLOOKUP(B27,Stock!$A$2:$B$133,2,0)</f>
        <v>#N/A</v>
      </c>
      <c r="D27" s="95"/>
      <c r="E27" s="98"/>
    </row>
    <row r="28" ht="15.75" customHeight="1">
      <c r="A28" s="95"/>
      <c r="B28" s="96"/>
      <c r="C28" s="97" t="str">
        <f>VLOOKUP(B28,Stock!$A$2:$B$133,2,0)</f>
        <v>#N/A</v>
      </c>
      <c r="D28" s="95"/>
      <c r="E28" s="98"/>
    </row>
    <row r="29" ht="15.75" customHeight="1">
      <c r="A29" s="95"/>
      <c r="B29" s="96"/>
      <c r="C29" s="97" t="str">
        <f>VLOOKUP(B29,Stock!$A$2:$B$133,2,0)</f>
        <v>#N/A</v>
      </c>
      <c r="D29" s="95"/>
      <c r="E29" s="98"/>
    </row>
    <row r="30" ht="15.75" customHeight="1">
      <c r="A30" s="95"/>
      <c r="B30" s="96"/>
      <c r="C30" s="97" t="str">
        <f>VLOOKUP(B30,Stock!$A$2:$B$133,2,0)</f>
        <v>#N/A</v>
      </c>
      <c r="D30" s="95"/>
      <c r="E30" s="98"/>
    </row>
    <row r="31" ht="15.75" customHeight="1">
      <c r="A31" s="95"/>
      <c r="B31" s="96"/>
      <c r="C31" s="97" t="str">
        <f>VLOOKUP(B31,Stock!$A$2:$B$133,2,0)</f>
        <v>#N/A</v>
      </c>
      <c r="D31" s="95"/>
      <c r="E31" s="98"/>
    </row>
    <row r="32" ht="15.75" customHeight="1">
      <c r="A32" s="95"/>
      <c r="B32" s="96"/>
      <c r="C32" s="97" t="str">
        <f>VLOOKUP(B32,Stock!$A$2:$B$133,2,0)</f>
        <v>#N/A</v>
      </c>
      <c r="D32" s="95"/>
      <c r="E32" s="98"/>
    </row>
    <row r="33" ht="15.75" customHeight="1">
      <c r="A33" s="95"/>
      <c r="B33" s="96"/>
      <c r="C33" s="97" t="str">
        <f>VLOOKUP(B33,Stock!$A$2:$B$133,2,0)</f>
        <v>#N/A</v>
      </c>
      <c r="D33" s="95"/>
      <c r="E33" s="98"/>
    </row>
    <row r="34" ht="15.75" customHeight="1">
      <c r="A34" s="95"/>
      <c r="B34" s="96"/>
      <c r="C34" s="97" t="str">
        <f>VLOOKUP(B34,Stock!$A$2:$B$133,2,0)</f>
        <v>#N/A</v>
      </c>
      <c r="D34" s="95"/>
      <c r="E34" s="98"/>
    </row>
    <row r="35" ht="15.75" customHeight="1">
      <c r="A35" s="95"/>
      <c r="B35" s="96"/>
      <c r="C35" s="97" t="str">
        <f>VLOOKUP(B35,Stock!$A$2:$B$133,2,0)</f>
        <v>#N/A</v>
      </c>
      <c r="D35" s="95"/>
      <c r="E35" s="98"/>
    </row>
    <row r="36" ht="15.75" customHeight="1">
      <c r="A36" s="95"/>
      <c r="B36" s="96"/>
      <c r="C36" s="97" t="str">
        <f>VLOOKUP(B36,Stock!$A$2:$B$133,2,0)</f>
        <v>#N/A</v>
      </c>
      <c r="D36" s="95"/>
      <c r="E36" s="98"/>
    </row>
    <row r="37" ht="15.75" customHeight="1">
      <c r="A37" s="95"/>
      <c r="B37" s="96"/>
      <c r="C37" s="97" t="str">
        <f>VLOOKUP(B37,Stock!$A$2:$B$133,2,0)</f>
        <v>#N/A</v>
      </c>
      <c r="D37" s="95"/>
      <c r="E37" s="98"/>
    </row>
    <row r="38" ht="15.75" customHeight="1">
      <c r="A38" s="95"/>
      <c r="B38" s="96"/>
      <c r="C38" s="97" t="str">
        <f>VLOOKUP(B38,Stock!$A$2:$B$133,2,0)</f>
        <v>#N/A</v>
      </c>
      <c r="D38" s="95"/>
      <c r="E38" s="98"/>
    </row>
    <row r="39" ht="15.75" customHeight="1">
      <c r="A39" s="95"/>
      <c r="B39" s="96"/>
      <c r="C39" s="97" t="str">
        <f>VLOOKUP(B39,Stock!$A$2:$B$133,2,0)</f>
        <v>#N/A</v>
      </c>
      <c r="D39" s="95"/>
      <c r="E39" s="98"/>
    </row>
    <row r="40" ht="15.75" customHeight="1">
      <c r="A40" s="95"/>
      <c r="B40" s="96"/>
      <c r="C40" s="97" t="str">
        <f>VLOOKUP(B40,Stock!$A$2:$B$133,2,0)</f>
        <v>#N/A</v>
      </c>
      <c r="D40" s="95"/>
      <c r="E40" s="98"/>
    </row>
    <row r="41" ht="15.75" customHeight="1">
      <c r="A41" s="95"/>
      <c r="B41" s="96"/>
      <c r="C41" s="97" t="str">
        <f>VLOOKUP(B41,Stock!$A$2:$B$133,2,0)</f>
        <v>#N/A</v>
      </c>
      <c r="D41" s="95"/>
      <c r="E41" s="98"/>
    </row>
    <row r="42" ht="15.75" customHeight="1">
      <c r="A42" s="95"/>
      <c r="B42" s="96"/>
      <c r="C42" s="97" t="str">
        <f>VLOOKUP(B42,Stock!$A$2:$B$133,2,0)</f>
        <v>#N/A</v>
      </c>
      <c r="D42" s="95"/>
      <c r="E42" s="98"/>
    </row>
    <row r="43" ht="15.75" customHeight="1">
      <c r="A43" s="95"/>
      <c r="B43" s="96"/>
      <c r="C43" s="97" t="str">
        <f>VLOOKUP(B43,Stock!$A$2:$B$133,2,0)</f>
        <v>#N/A</v>
      </c>
      <c r="D43" s="95"/>
      <c r="E43" s="98"/>
    </row>
    <row r="44" ht="15.75" customHeight="1">
      <c r="A44" s="95"/>
      <c r="B44" s="96"/>
      <c r="C44" s="97" t="str">
        <f>VLOOKUP(B44,Stock!$A$2:$B$133,2,0)</f>
        <v>#N/A</v>
      </c>
      <c r="D44" s="95"/>
      <c r="E44" s="98"/>
    </row>
    <row r="45" ht="15.75" customHeight="1">
      <c r="A45" s="95"/>
      <c r="B45" s="96"/>
      <c r="C45" s="97" t="str">
        <f>VLOOKUP(B45,Stock!$A$2:$B$133,2,0)</f>
        <v>#N/A</v>
      </c>
      <c r="D45" s="95"/>
      <c r="E45" s="98"/>
    </row>
    <row r="46" ht="15.75" customHeight="1">
      <c r="A46" s="95"/>
      <c r="B46" s="96"/>
      <c r="C46" s="97" t="str">
        <f>VLOOKUP(B46,Stock!$A$2:$B$133,2,0)</f>
        <v>#N/A</v>
      </c>
      <c r="D46" s="95"/>
      <c r="E46" s="98"/>
    </row>
    <row r="47" ht="15.75" customHeight="1">
      <c r="A47" s="95"/>
      <c r="B47" s="96"/>
      <c r="C47" s="97" t="str">
        <f>VLOOKUP(B47,Stock!$A$2:$B$133,2,0)</f>
        <v>#N/A</v>
      </c>
      <c r="D47" s="95"/>
      <c r="E47" s="98"/>
    </row>
    <row r="48" ht="15.75" customHeight="1">
      <c r="A48" s="95"/>
      <c r="B48" s="96"/>
      <c r="C48" s="97" t="str">
        <f>VLOOKUP(B48,Stock!$A$2:$B$133,2,0)</f>
        <v>#N/A</v>
      </c>
      <c r="D48" s="95"/>
      <c r="E48" s="98"/>
    </row>
    <row r="49" ht="15.75" customHeight="1">
      <c r="A49" s="95"/>
      <c r="B49" s="96"/>
      <c r="C49" s="97" t="str">
        <f>VLOOKUP(B49,Stock!$A$2:$B$133,2,0)</f>
        <v>#N/A</v>
      </c>
      <c r="D49" s="95"/>
      <c r="E49" s="98"/>
    </row>
    <row r="50" ht="15.75" customHeight="1">
      <c r="A50" s="95"/>
      <c r="B50" s="96"/>
      <c r="C50" s="97" t="str">
        <f>VLOOKUP(B50,Stock!$A$2:$B$133,2,0)</f>
        <v>#N/A</v>
      </c>
      <c r="D50" s="95"/>
      <c r="E50" s="98"/>
    </row>
    <row r="51" ht="15.75" customHeight="1">
      <c r="A51" s="95"/>
      <c r="B51" s="96"/>
      <c r="C51" s="97" t="str">
        <f>VLOOKUP(B51,Stock!$A$2:$B$133,2,0)</f>
        <v>#N/A</v>
      </c>
      <c r="D51" s="95"/>
      <c r="E51" s="98"/>
    </row>
    <row r="52" ht="15.75" customHeight="1">
      <c r="A52" s="95"/>
      <c r="B52" s="96"/>
      <c r="C52" s="97" t="str">
        <f>VLOOKUP(B52,Stock!$A$2:$B$133,2,0)</f>
        <v>#N/A</v>
      </c>
      <c r="D52" s="95"/>
      <c r="E52" s="98"/>
    </row>
    <row r="53" ht="15.75" customHeight="1">
      <c r="A53" s="95"/>
      <c r="B53" s="96"/>
      <c r="C53" s="97" t="str">
        <f>VLOOKUP(B53,Stock!$A$2:$B$133,2,0)</f>
        <v>#N/A</v>
      </c>
      <c r="D53" s="95"/>
      <c r="E53" s="98"/>
    </row>
    <row r="54" ht="15.75" customHeight="1">
      <c r="A54" s="95"/>
      <c r="B54" s="96"/>
      <c r="C54" s="97" t="str">
        <f>VLOOKUP(B54,Stock!$A$2:$B$133,2,0)</f>
        <v>#N/A</v>
      </c>
      <c r="D54" s="95"/>
      <c r="E54" s="98"/>
    </row>
    <row r="55" ht="15.75" customHeight="1">
      <c r="A55" s="95"/>
      <c r="B55" s="96"/>
      <c r="C55" s="97" t="str">
        <f>VLOOKUP(B55,Stock!$A$2:$B$133,2,0)</f>
        <v>#N/A</v>
      </c>
      <c r="D55" s="95"/>
      <c r="E55" s="98"/>
    </row>
    <row r="56" ht="15.75" customHeight="1">
      <c r="A56" s="95"/>
      <c r="B56" s="96"/>
      <c r="C56" s="97" t="str">
        <f>VLOOKUP(B56,Stock!$A$2:$B$133,2,0)</f>
        <v>#N/A</v>
      </c>
      <c r="D56" s="95"/>
      <c r="E56" s="98"/>
    </row>
    <row r="57" ht="15.75" customHeight="1">
      <c r="A57" s="95"/>
      <c r="B57" s="96"/>
      <c r="C57" s="97" t="str">
        <f>VLOOKUP(B57,Stock!$A$2:$B$133,2,0)</f>
        <v>#N/A</v>
      </c>
      <c r="D57" s="95"/>
      <c r="E57" s="98"/>
    </row>
    <row r="58" ht="15.75" customHeight="1">
      <c r="A58" s="95"/>
      <c r="B58" s="96"/>
      <c r="C58" s="97" t="str">
        <f>VLOOKUP(B58,Stock!$A$2:$B$133,2,0)</f>
        <v>#N/A</v>
      </c>
      <c r="D58" s="95"/>
      <c r="E58" s="98"/>
    </row>
    <row r="59" ht="15.75" customHeight="1">
      <c r="A59" s="95"/>
      <c r="B59" s="96"/>
      <c r="C59" s="97" t="str">
        <f>VLOOKUP(B59,Stock!$A$2:$B$133,2,0)</f>
        <v>#N/A</v>
      </c>
      <c r="D59" s="95"/>
      <c r="E59" s="98"/>
    </row>
    <row r="60" ht="15.75" customHeight="1">
      <c r="A60" s="95"/>
      <c r="B60" s="96"/>
      <c r="C60" s="97" t="str">
        <f>VLOOKUP(B60,Stock!$A$2:$B$133,2,0)</f>
        <v>#N/A</v>
      </c>
      <c r="D60" s="95"/>
      <c r="E60" s="98"/>
    </row>
    <row r="61" ht="15.75" customHeight="1">
      <c r="A61" s="95"/>
      <c r="B61" s="96"/>
      <c r="C61" s="97" t="str">
        <f>VLOOKUP(B61,Stock!$A$2:$B$133,2,0)</f>
        <v>#N/A</v>
      </c>
      <c r="D61" s="95"/>
      <c r="E61" s="98"/>
    </row>
    <row r="62" ht="15.75" customHeight="1">
      <c r="A62" s="95"/>
      <c r="B62" s="96"/>
      <c r="C62" s="97" t="str">
        <f>VLOOKUP(B62,Stock!$A$2:$B$133,2,0)</f>
        <v>#N/A</v>
      </c>
      <c r="D62" s="95"/>
      <c r="E62" s="98"/>
    </row>
    <row r="63" ht="15.75" customHeight="1">
      <c r="A63" s="95"/>
      <c r="B63" s="96"/>
      <c r="C63" s="97" t="str">
        <f>VLOOKUP(B63,Stock!$A$2:$B$133,2,0)</f>
        <v>#N/A</v>
      </c>
      <c r="D63" s="95"/>
      <c r="E63" s="98"/>
    </row>
    <row r="64" ht="15.75" customHeight="1">
      <c r="A64" s="95"/>
      <c r="B64" s="96"/>
      <c r="C64" s="97" t="str">
        <f>VLOOKUP(B64,Stock!$A$2:$B$133,2,0)</f>
        <v>#N/A</v>
      </c>
      <c r="D64" s="95"/>
      <c r="E64" s="98"/>
    </row>
    <row r="65" ht="15.75" customHeight="1">
      <c r="A65" s="95"/>
      <c r="B65" s="96"/>
      <c r="C65" s="97" t="str">
        <f>VLOOKUP(B65,Stock!$A$2:$B$133,2,0)</f>
        <v>#N/A</v>
      </c>
      <c r="D65" s="95"/>
      <c r="E65" s="98"/>
    </row>
    <row r="66" ht="15.75" customHeight="1">
      <c r="A66" s="95"/>
      <c r="B66" s="96"/>
      <c r="C66" s="97" t="str">
        <f>VLOOKUP(B66,Stock!$A$2:$B$133,2,0)</f>
        <v>#N/A</v>
      </c>
      <c r="D66" s="95"/>
      <c r="E66" s="98"/>
    </row>
    <row r="67" ht="15.75" customHeight="1">
      <c r="A67" s="95"/>
      <c r="B67" s="96"/>
      <c r="C67" s="97" t="str">
        <f>VLOOKUP(B67,Stock!$A$2:$B$133,2,0)</f>
        <v>#N/A</v>
      </c>
      <c r="D67" s="95"/>
      <c r="E67" s="98"/>
    </row>
    <row r="68" ht="15.75" customHeight="1">
      <c r="A68" s="95"/>
      <c r="B68" s="96"/>
      <c r="C68" s="97" t="str">
        <f>VLOOKUP(B68,Stock!$A$2:$B$133,2,0)</f>
        <v>#N/A</v>
      </c>
      <c r="D68" s="95"/>
      <c r="E68" s="98"/>
    </row>
    <row r="69" ht="15.75" customHeight="1">
      <c r="A69" s="95"/>
      <c r="B69" s="96"/>
      <c r="C69" s="97" t="str">
        <f>VLOOKUP(B69,Stock!$A$2:$B$133,2,0)</f>
        <v>#N/A</v>
      </c>
      <c r="D69" s="95"/>
      <c r="E69" s="98"/>
    </row>
    <row r="70" ht="15.75" customHeight="1">
      <c r="A70" s="95"/>
      <c r="B70" s="96"/>
      <c r="C70" s="97" t="str">
        <f>VLOOKUP(B70,Stock!$A$2:$B$133,2,0)</f>
        <v>#N/A</v>
      </c>
      <c r="D70" s="95"/>
      <c r="E70" s="98"/>
    </row>
    <row r="71" ht="15.75" customHeight="1">
      <c r="A71" s="95"/>
      <c r="B71" s="96"/>
      <c r="C71" s="97" t="str">
        <f>VLOOKUP(B71,Stock!$A$2:$B$133,2,0)</f>
        <v>#N/A</v>
      </c>
      <c r="D71" s="95"/>
      <c r="E71" s="98"/>
    </row>
    <row r="72" ht="15.75" customHeight="1">
      <c r="A72" s="95"/>
      <c r="B72" s="96"/>
      <c r="C72" s="97" t="str">
        <f>VLOOKUP(B72,Stock!$A$2:$B$133,2,0)</f>
        <v>#N/A</v>
      </c>
      <c r="D72" s="95"/>
      <c r="E72" s="98"/>
    </row>
    <row r="73" ht="15.75" customHeight="1">
      <c r="A73" s="95"/>
      <c r="B73" s="96"/>
      <c r="C73" s="97" t="str">
        <f>VLOOKUP(B73,Stock!$A$2:$B$133,2,0)</f>
        <v>#N/A</v>
      </c>
      <c r="D73" s="95"/>
      <c r="E73" s="98"/>
    </row>
    <row r="74" ht="15.75" customHeight="1">
      <c r="A74" s="95"/>
      <c r="B74" s="96"/>
      <c r="C74" s="97" t="str">
        <f>VLOOKUP(B74,Stock!$A$2:$B$133,2,0)</f>
        <v>#N/A</v>
      </c>
      <c r="D74" s="95"/>
      <c r="E74" s="98"/>
    </row>
    <row r="75" ht="15.75" customHeight="1">
      <c r="A75" s="95"/>
      <c r="B75" s="96"/>
      <c r="C75" s="97" t="str">
        <f>VLOOKUP(B75,Stock!$A$2:$B$133,2,0)</f>
        <v>#N/A</v>
      </c>
      <c r="D75" s="95"/>
      <c r="E75" s="98"/>
    </row>
    <row r="76" ht="15.75" customHeight="1">
      <c r="A76" s="95"/>
      <c r="B76" s="96"/>
      <c r="C76" s="97" t="str">
        <f>VLOOKUP(B76,Stock!$A$2:$B$133,2,0)</f>
        <v>#N/A</v>
      </c>
      <c r="D76" s="95"/>
      <c r="E76" s="98"/>
    </row>
    <row r="77" ht="15.75" customHeight="1">
      <c r="A77" s="95"/>
      <c r="B77" s="96"/>
      <c r="C77" s="97" t="str">
        <f>VLOOKUP(B77,Stock!$A$2:$B$133,2,0)</f>
        <v>#N/A</v>
      </c>
      <c r="D77" s="95"/>
      <c r="E77" s="98"/>
    </row>
    <row r="78" ht="15.75" customHeight="1">
      <c r="A78" s="95"/>
      <c r="B78" s="96"/>
      <c r="C78" s="97" t="str">
        <f>VLOOKUP(B78,Stock!$A$2:$B$133,2,0)</f>
        <v>#N/A</v>
      </c>
      <c r="D78" s="95"/>
      <c r="E78" s="98"/>
    </row>
    <row r="79" ht="15.75" customHeight="1">
      <c r="A79" s="95"/>
      <c r="B79" s="96"/>
      <c r="C79" s="97" t="str">
        <f>VLOOKUP(B79,Stock!$A$2:$B$133,2,0)</f>
        <v>#N/A</v>
      </c>
      <c r="D79" s="95"/>
      <c r="E79" s="98"/>
    </row>
    <row r="80" ht="15.75" customHeight="1">
      <c r="A80" s="95"/>
      <c r="B80" s="96"/>
      <c r="C80" s="97" t="str">
        <f>VLOOKUP(B80,Stock!$A$2:$B$133,2,0)</f>
        <v>#N/A</v>
      </c>
      <c r="D80" s="95"/>
      <c r="E80" s="98"/>
    </row>
    <row r="81" ht="15.75" customHeight="1">
      <c r="A81" s="95"/>
      <c r="B81" s="96"/>
      <c r="C81" s="97" t="str">
        <f>VLOOKUP(B81,Stock!$A$2:$B$133,2,0)</f>
        <v>#N/A</v>
      </c>
      <c r="D81" s="95"/>
      <c r="E81" s="98"/>
    </row>
    <row r="82" ht="15.75" customHeight="1">
      <c r="A82" s="95"/>
      <c r="B82" s="96"/>
      <c r="C82" s="97" t="str">
        <f>VLOOKUP(B82,Stock!$A$2:$B$133,2,0)</f>
        <v>#N/A</v>
      </c>
      <c r="D82" s="95"/>
      <c r="E82" s="98"/>
    </row>
    <row r="83" ht="15.75" customHeight="1">
      <c r="A83" s="95"/>
      <c r="B83" s="96"/>
      <c r="C83" s="97" t="str">
        <f>VLOOKUP(B83,Stock!$A$2:$B$133,2,0)</f>
        <v>#N/A</v>
      </c>
      <c r="D83" s="95"/>
      <c r="E83" s="98"/>
    </row>
    <row r="84" ht="15.75" customHeight="1">
      <c r="A84" s="95"/>
      <c r="B84" s="96"/>
      <c r="C84" s="97" t="str">
        <f>VLOOKUP(B84,Stock!$A$2:$B$133,2,0)</f>
        <v>#N/A</v>
      </c>
      <c r="D84" s="95"/>
      <c r="E84" s="98"/>
    </row>
    <row r="85" ht="15.75" customHeight="1">
      <c r="A85" s="95"/>
      <c r="B85" s="96"/>
      <c r="C85" s="97" t="str">
        <f>VLOOKUP(B85,Stock!$A$2:$B$133,2,0)</f>
        <v>#N/A</v>
      </c>
      <c r="D85" s="95"/>
      <c r="E85" s="98"/>
    </row>
    <row r="86" ht="15.75" customHeight="1">
      <c r="A86" s="95"/>
      <c r="B86" s="96"/>
      <c r="C86" s="97" t="str">
        <f>VLOOKUP(B86,Stock!$A$2:$B$133,2,0)</f>
        <v>#N/A</v>
      </c>
      <c r="D86" s="95"/>
      <c r="E86" s="98"/>
    </row>
    <row r="87" ht="15.75" customHeight="1">
      <c r="A87" s="95"/>
      <c r="B87" s="96"/>
      <c r="C87" s="97" t="str">
        <f>VLOOKUP(B87,Stock!$A$2:$B$133,2,0)</f>
        <v>#N/A</v>
      </c>
      <c r="D87" s="95"/>
      <c r="E87" s="98"/>
    </row>
    <row r="88" ht="15.75" customHeight="1">
      <c r="A88" s="95"/>
      <c r="B88" s="96"/>
      <c r="C88" s="97" t="str">
        <f>VLOOKUP(B88,Stock!$A$2:$B$133,2,0)</f>
        <v>#N/A</v>
      </c>
      <c r="D88" s="95"/>
      <c r="E88" s="98"/>
    </row>
    <row r="89" ht="15.75" customHeight="1">
      <c r="A89" s="95"/>
      <c r="B89" s="96"/>
      <c r="C89" s="97" t="str">
        <f>VLOOKUP(B89,Stock!$A$2:$B$133,2,0)</f>
        <v>#N/A</v>
      </c>
      <c r="D89" s="95"/>
      <c r="E89" s="98"/>
    </row>
    <row r="90" ht="15.75" customHeight="1">
      <c r="A90" s="95"/>
      <c r="B90" s="96"/>
      <c r="C90" s="97" t="str">
        <f>VLOOKUP(B90,Stock!$A$2:$B$133,2,0)</f>
        <v>#N/A</v>
      </c>
      <c r="D90" s="95"/>
      <c r="E90" s="98"/>
    </row>
    <row r="91" ht="15.75" customHeight="1">
      <c r="A91" s="95"/>
      <c r="B91" s="96"/>
      <c r="C91" s="97" t="str">
        <f>VLOOKUP(B91,Stock!$A$2:$B$133,2,0)</f>
        <v>#N/A</v>
      </c>
      <c r="D91" s="95"/>
      <c r="E91" s="98"/>
    </row>
    <row r="92" ht="15.75" customHeight="1">
      <c r="A92" s="95"/>
      <c r="B92" s="96"/>
      <c r="C92" s="97" t="str">
        <f>VLOOKUP(B92,Stock!$A$2:$B$133,2,0)</f>
        <v>#N/A</v>
      </c>
      <c r="D92" s="95"/>
      <c r="E92" s="98"/>
    </row>
    <row r="93" ht="15.75" customHeight="1">
      <c r="A93" s="95"/>
      <c r="B93" s="96"/>
      <c r="C93" s="97" t="str">
        <f>VLOOKUP(B93,Stock!$A$2:$B$133,2,0)</f>
        <v>#N/A</v>
      </c>
      <c r="D93" s="95"/>
      <c r="E93" s="98"/>
    </row>
    <row r="94" ht="15.75" customHeight="1">
      <c r="A94" s="95"/>
      <c r="B94" s="96"/>
      <c r="C94" s="97" t="str">
        <f>VLOOKUP(B94,Stock!$A$2:$B$133,2,0)</f>
        <v>#N/A</v>
      </c>
      <c r="D94" s="95"/>
      <c r="E94" s="98"/>
    </row>
    <row r="95" ht="15.75" customHeight="1">
      <c r="A95" s="95"/>
      <c r="B95" s="96"/>
      <c r="C95" s="97" t="str">
        <f>VLOOKUP(B95,Stock!$A$2:$B$133,2,0)</f>
        <v>#N/A</v>
      </c>
      <c r="D95" s="95"/>
      <c r="E95" s="98"/>
    </row>
    <row r="96" ht="15.75" customHeight="1">
      <c r="A96" s="95"/>
      <c r="B96" s="96"/>
      <c r="C96" s="97" t="str">
        <f>VLOOKUP(B96,Stock!$A$2:$B$133,2,0)</f>
        <v>#N/A</v>
      </c>
      <c r="D96" s="95"/>
      <c r="E96" s="98"/>
    </row>
    <row r="97" ht="15.75" customHeight="1">
      <c r="A97" s="95"/>
      <c r="B97" s="96"/>
      <c r="C97" s="97" t="str">
        <f>VLOOKUP(B97,Stock!$A$2:$B$133,2,0)</f>
        <v>#N/A</v>
      </c>
      <c r="D97" s="95"/>
      <c r="E97" s="98"/>
    </row>
    <row r="98" ht="15.75" customHeight="1">
      <c r="A98" s="95"/>
      <c r="B98" s="96"/>
      <c r="C98" s="97" t="str">
        <f>VLOOKUP(B98,Stock!$A$2:$B$133,2,0)</f>
        <v>#N/A</v>
      </c>
      <c r="D98" s="95"/>
      <c r="E98" s="98"/>
    </row>
    <row r="99" ht="15.75" customHeight="1">
      <c r="A99" s="95"/>
      <c r="B99" s="96"/>
      <c r="C99" s="97" t="str">
        <f>VLOOKUP(B99,Stock!$A$2:$B$133,2,0)</f>
        <v>#N/A</v>
      </c>
      <c r="D99" s="95"/>
      <c r="E99" s="98"/>
    </row>
    <row r="100" ht="15.75" customHeight="1">
      <c r="A100" s="95"/>
      <c r="B100" s="96"/>
      <c r="C100" s="97" t="str">
        <f>VLOOKUP(B100,Stock!$A$2:$B$133,2,0)</f>
        <v>#N/A</v>
      </c>
      <c r="D100" s="95"/>
      <c r="E100" s="98"/>
    </row>
    <row r="101" ht="15.75" customHeight="1">
      <c r="A101" s="95"/>
      <c r="B101" s="96"/>
      <c r="C101" s="97" t="str">
        <f>VLOOKUP(B101,Stock!$A$2:$B$133,2,0)</f>
        <v>#N/A</v>
      </c>
      <c r="D101" s="95"/>
      <c r="E101" s="98"/>
    </row>
    <row r="102" ht="15.75" customHeight="1">
      <c r="A102" s="95"/>
      <c r="B102" s="96"/>
      <c r="C102" s="97" t="str">
        <f>VLOOKUP(B102,Stock!$A$2:$B$133,2,0)</f>
        <v>#N/A</v>
      </c>
      <c r="D102" s="95"/>
      <c r="E102" s="98"/>
    </row>
    <row r="103" ht="15.75" customHeight="1">
      <c r="A103" s="95"/>
      <c r="B103" s="96"/>
      <c r="C103" s="97" t="str">
        <f>VLOOKUP(B103,Stock!$A$2:$B$133,2,0)</f>
        <v>#N/A</v>
      </c>
      <c r="D103" s="95"/>
      <c r="E103" s="98"/>
    </row>
    <row r="104" ht="15.75" customHeight="1">
      <c r="A104" s="95"/>
      <c r="B104" s="96"/>
      <c r="C104" s="97" t="str">
        <f>VLOOKUP(B104,Stock!$A$2:$B$133,2,0)</f>
        <v>#N/A</v>
      </c>
      <c r="D104" s="95"/>
      <c r="E104" s="98"/>
    </row>
    <row r="105" ht="15.75" customHeight="1">
      <c r="A105" s="95"/>
      <c r="B105" s="96"/>
      <c r="C105" s="97" t="str">
        <f>VLOOKUP(B105,Stock!$A$2:$B$133,2,0)</f>
        <v>#N/A</v>
      </c>
      <c r="D105" s="95"/>
      <c r="E105" s="98"/>
    </row>
    <row r="106" ht="15.75" customHeight="1">
      <c r="A106" s="95"/>
      <c r="B106" s="96"/>
      <c r="C106" s="97" t="str">
        <f>VLOOKUP(B106,Stock!$A$2:$B$133,2,0)</f>
        <v>#N/A</v>
      </c>
      <c r="D106" s="95"/>
      <c r="E106" s="98"/>
    </row>
    <row r="107" ht="15.75" customHeight="1">
      <c r="A107" s="95"/>
      <c r="B107" s="96"/>
      <c r="C107" s="97" t="str">
        <f>VLOOKUP(B107,Stock!$A$2:$B$133,2,0)</f>
        <v>#N/A</v>
      </c>
      <c r="D107" s="95"/>
      <c r="E107" s="98"/>
    </row>
    <row r="108" ht="15.75" customHeight="1">
      <c r="A108" s="95"/>
      <c r="B108" s="96"/>
      <c r="C108" s="97" t="str">
        <f>VLOOKUP(B108,Stock!$A$2:$B$133,2,0)</f>
        <v>#N/A</v>
      </c>
      <c r="D108" s="95"/>
      <c r="E108" s="98"/>
    </row>
    <row r="109" ht="15.75" customHeight="1">
      <c r="A109" s="95"/>
      <c r="B109" s="96"/>
      <c r="C109" s="97" t="str">
        <f>VLOOKUP(B109,Stock!$A$2:$B$133,2,0)</f>
        <v>#N/A</v>
      </c>
      <c r="D109" s="95"/>
      <c r="E109" s="98"/>
    </row>
    <row r="110" ht="15.75" customHeight="1">
      <c r="A110" s="95"/>
      <c r="B110" s="96"/>
      <c r="C110" s="97" t="str">
        <f>VLOOKUP(B110,Stock!$A$2:$B$133,2,0)</f>
        <v>#N/A</v>
      </c>
      <c r="D110" s="95"/>
      <c r="E110" s="98"/>
    </row>
    <row r="111" ht="15.75" customHeight="1">
      <c r="A111" s="95"/>
      <c r="B111" s="96"/>
      <c r="C111" s="97" t="str">
        <f>VLOOKUP(B111,Stock!$A$2:$B$133,2,0)</f>
        <v>#N/A</v>
      </c>
      <c r="D111" s="95"/>
      <c r="E111" s="98"/>
    </row>
    <row r="112" ht="15.75" customHeight="1">
      <c r="A112" s="95"/>
      <c r="B112" s="96"/>
      <c r="C112" s="97" t="str">
        <f>VLOOKUP(B112,Stock!$A$2:$B$133,2,0)</f>
        <v>#N/A</v>
      </c>
      <c r="D112" s="95"/>
      <c r="E112" s="98"/>
    </row>
    <row r="113" ht="15.75" customHeight="1">
      <c r="A113" s="95"/>
      <c r="B113" s="96"/>
      <c r="C113" s="97" t="str">
        <f>VLOOKUP(B113,Stock!$A$2:$B$133,2,0)</f>
        <v>#N/A</v>
      </c>
      <c r="D113" s="95"/>
      <c r="E113" s="98"/>
    </row>
    <row r="114" ht="15.75" customHeight="1">
      <c r="A114" s="95"/>
      <c r="B114" s="96"/>
      <c r="C114" s="97" t="str">
        <f>VLOOKUP(B114,Stock!$A$2:$B$133,2,0)</f>
        <v>#N/A</v>
      </c>
      <c r="D114" s="95"/>
      <c r="E114" s="98"/>
    </row>
    <row r="115" ht="15.75" customHeight="1">
      <c r="A115" s="95"/>
      <c r="B115" s="96"/>
      <c r="C115" s="97" t="str">
        <f>VLOOKUP(B115,Stock!$A$2:$B$133,2,0)</f>
        <v>#N/A</v>
      </c>
      <c r="D115" s="95"/>
      <c r="E115" s="98"/>
    </row>
    <row r="116" ht="15.75" customHeight="1">
      <c r="A116" s="95"/>
      <c r="B116" s="96"/>
      <c r="C116" s="97" t="str">
        <f>VLOOKUP(B116,Stock!$A$2:$B$133,2,0)</f>
        <v>#N/A</v>
      </c>
      <c r="D116" s="95"/>
      <c r="E116" s="98"/>
    </row>
    <row r="117" ht="15.75" customHeight="1">
      <c r="A117" s="95"/>
      <c r="B117" s="96"/>
      <c r="C117" s="97" t="str">
        <f>VLOOKUP(B117,Stock!$A$2:$B$133,2,0)</f>
        <v>#N/A</v>
      </c>
      <c r="D117" s="95"/>
      <c r="E117" s="98"/>
    </row>
    <row r="118" ht="15.75" customHeight="1">
      <c r="A118" s="95"/>
      <c r="B118" s="96"/>
      <c r="C118" s="97" t="str">
        <f>VLOOKUP(B118,Stock!$A$2:$B$133,2,0)</f>
        <v>#N/A</v>
      </c>
      <c r="D118" s="95"/>
      <c r="E118" s="98"/>
    </row>
    <row r="119" ht="15.75" customHeight="1">
      <c r="A119" s="95"/>
      <c r="B119" s="96"/>
      <c r="C119" s="97" t="str">
        <f>VLOOKUP(B119,Stock!$A$2:$B$133,2,0)</f>
        <v>#N/A</v>
      </c>
      <c r="D119" s="95"/>
      <c r="E119" s="98"/>
    </row>
    <row r="120" ht="15.75" customHeight="1">
      <c r="A120" s="95"/>
      <c r="B120" s="96"/>
      <c r="C120" s="97" t="str">
        <f>VLOOKUP(B120,Stock!$A$2:$B$133,2,0)</f>
        <v>#N/A</v>
      </c>
      <c r="D120" s="95"/>
      <c r="E120" s="98"/>
    </row>
    <row r="121" ht="15.75" customHeight="1">
      <c r="A121" s="95"/>
      <c r="B121" s="96"/>
      <c r="C121" s="97" t="str">
        <f>VLOOKUP(B121,Stock!$A$2:$B$133,2,0)</f>
        <v>#N/A</v>
      </c>
      <c r="D121" s="95"/>
      <c r="E121" s="98"/>
    </row>
    <row r="122" ht="15.75" customHeight="1">
      <c r="A122" s="95"/>
      <c r="B122" s="96"/>
      <c r="C122" s="97" t="str">
        <f>VLOOKUP(B122,Stock!$A$2:$B$133,2,0)</f>
        <v>#N/A</v>
      </c>
      <c r="D122" s="95"/>
      <c r="E122" s="98"/>
    </row>
    <row r="123" ht="15.75" customHeight="1">
      <c r="A123" s="95"/>
      <c r="B123" s="96"/>
      <c r="C123" s="97" t="str">
        <f>VLOOKUP(B123,Stock!$A$2:$B$133,2,0)</f>
        <v>#N/A</v>
      </c>
      <c r="D123" s="95"/>
      <c r="E123" s="98"/>
    </row>
    <row r="124" ht="15.75" customHeight="1">
      <c r="A124" s="95"/>
      <c r="B124" s="96"/>
      <c r="C124" s="97" t="str">
        <f>VLOOKUP(B124,Stock!$A$2:$B$133,2,0)</f>
        <v>#N/A</v>
      </c>
      <c r="D124" s="95"/>
      <c r="E124" s="98"/>
    </row>
    <row r="125" ht="15.75" customHeight="1">
      <c r="A125" s="95"/>
      <c r="B125" s="96"/>
      <c r="C125" s="97" t="str">
        <f>VLOOKUP(B125,Stock!$A$2:$B$133,2,0)</f>
        <v>#N/A</v>
      </c>
      <c r="D125" s="95"/>
      <c r="E125" s="98"/>
    </row>
    <row r="126" ht="15.75" customHeight="1">
      <c r="A126" s="95"/>
      <c r="B126" s="96"/>
      <c r="C126" s="97" t="str">
        <f>VLOOKUP(B126,Stock!$A$2:$B$133,2,0)</f>
        <v>#N/A</v>
      </c>
      <c r="D126" s="95"/>
      <c r="E126" s="98"/>
    </row>
    <row r="127" ht="15.75" customHeight="1">
      <c r="A127" s="95"/>
      <c r="B127" s="96"/>
      <c r="C127" s="97" t="str">
        <f>VLOOKUP(B127,Stock!$A$2:$B$133,2,0)</f>
        <v>#N/A</v>
      </c>
      <c r="D127" s="95"/>
      <c r="E127" s="98"/>
    </row>
    <row r="128" ht="15.75" customHeight="1">
      <c r="A128" s="95"/>
      <c r="B128" s="96"/>
      <c r="C128" s="97" t="str">
        <f>VLOOKUP(B128,Stock!$A$2:$B$133,2,0)</f>
        <v>#N/A</v>
      </c>
      <c r="D128" s="95"/>
      <c r="E128" s="98"/>
    </row>
    <row r="129" ht="15.75" customHeight="1">
      <c r="A129" s="95"/>
      <c r="B129" s="96"/>
      <c r="C129" s="97" t="str">
        <f>VLOOKUP(B129,Stock!$A$2:$B$133,2,0)</f>
        <v>#N/A</v>
      </c>
      <c r="D129" s="95"/>
      <c r="E129" s="98"/>
    </row>
    <row r="130" ht="15.75" customHeight="1">
      <c r="A130" s="95"/>
      <c r="B130" s="96"/>
      <c r="C130" s="97" t="str">
        <f>VLOOKUP(B130,Stock!$A$2:$B$133,2,0)</f>
        <v>#N/A</v>
      </c>
      <c r="D130" s="95"/>
      <c r="E130" s="98"/>
    </row>
    <row r="131" ht="15.75" customHeight="1">
      <c r="A131" s="95"/>
      <c r="B131" s="96"/>
      <c r="C131" s="97" t="str">
        <f>VLOOKUP(B131,Stock!$A$2:$B$133,2,0)</f>
        <v>#N/A</v>
      </c>
      <c r="D131" s="95"/>
      <c r="E131" s="98"/>
    </row>
    <row r="132" ht="15.75" customHeight="1">
      <c r="A132" s="95"/>
      <c r="B132" s="96"/>
      <c r="C132" s="97" t="str">
        <f>VLOOKUP(B132,Stock!$A$2:$B$133,2,0)</f>
        <v>#N/A</v>
      </c>
      <c r="D132" s="95"/>
      <c r="E132" s="98"/>
    </row>
    <row r="133" ht="15.75" customHeight="1">
      <c r="A133" s="95"/>
      <c r="B133" s="96"/>
      <c r="C133" s="97" t="str">
        <f>VLOOKUP(B133,Stock!$A$2:$B$133,2,0)</f>
        <v>#N/A</v>
      </c>
      <c r="D133" s="95"/>
      <c r="E133" s="98"/>
    </row>
    <row r="134" ht="15.75" customHeight="1">
      <c r="A134" s="95"/>
      <c r="B134" s="96"/>
      <c r="C134" s="97" t="str">
        <f>VLOOKUP(B134,Stock!$A$2:$B$133,2,0)</f>
        <v>#N/A</v>
      </c>
      <c r="D134" s="95"/>
      <c r="E134" s="98"/>
    </row>
    <row r="135" ht="15.75" customHeight="1">
      <c r="A135" s="95"/>
      <c r="B135" s="96"/>
      <c r="C135" s="97" t="str">
        <f>VLOOKUP(B135,Stock!$A$2:$B$133,2,0)</f>
        <v>#N/A</v>
      </c>
      <c r="D135" s="95"/>
      <c r="E135" s="98"/>
    </row>
    <row r="136" ht="15.75" customHeight="1">
      <c r="A136" s="95"/>
      <c r="B136" s="96"/>
      <c r="C136" s="97" t="str">
        <f>VLOOKUP(B136,Stock!$A$2:$B$133,2,0)</f>
        <v>#N/A</v>
      </c>
      <c r="D136" s="95"/>
      <c r="E136" s="98"/>
    </row>
    <row r="137" ht="15.75" customHeight="1">
      <c r="A137" s="95"/>
      <c r="B137" s="96"/>
      <c r="C137" s="97" t="str">
        <f>VLOOKUP(B137,Stock!$A$2:$B$133,2,0)</f>
        <v>#N/A</v>
      </c>
      <c r="D137" s="95"/>
      <c r="E137" s="98"/>
    </row>
    <row r="138" ht="15.75" customHeight="1">
      <c r="A138" s="95"/>
      <c r="B138" s="96"/>
      <c r="C138" s="97" t="str">
        <f>VLOOKUP(B138,Stock!$A$2:$B$133,2,0)</f>
        <v>#N/A</v>
      </c>
      <c r="D138" s="95"/>
      <c r="E138" s="98"/>
    </row>
    <row r="139" ht="15.75" customHeight="1">
      <c r="A139" s="95"/>
      <c r="B139" s="96"/>
      <c r="C139" s="97" t="str">
        <f>VLOOKUP(B139,Stock!$A$2:$B$133,2,0)</f>
        <v>#N/A</v>
      </c>
      <c r="D139" s="95"/>
      <c r="E139" s="98"/>
    </row>
    <row r="140" ht="15.75" customHeight="1">
      <c r="A140" s="95"/>
      <c r="B140" s="96"/>
      <c r="C140" s="97" t="str">
        <f>VLOOKUP(B140,Stock!$A$2:$B$133,2,0)</f>
        <v>#N/A</v>
      </c>
      <c r="D140" s="95"/>
      <c r="E140" s="98"/>
    </row>
    <row r="141" ht="15.75" customHeight="1">
      <c r="A141" s="95"/>
      <c r="B141" s="96"/>
      <c r="C141" s="97" t="str">
        <f>VLOOKUP(B141,Stock!$A$2:$B$133,2,0)</f>
        <v>#N/A</v>
      </c>
      <c r="D141" s="95"/>
      <c r="E141" s="98"/>
    </row>
    <row r="142" ht="15.75" customHeight="1">
      <c r="A142" s="95"/>
      <c r="B142" s="96"/>
      <c r="C142" s="97" t="str">
        <f>VLOOKUP(B142,Stock!$A$2:$B$133,2,0)</f>
        <v>#N/A</v>
      </c>
      <c r="D142" s="95"/>
      <c r="E142" s="98"/>
    </row>
    <row r="143" ht="15.75" customHeight="1">
      <c r="A143" s="95"/>
      <c r="B143" s="96"/>
      <c r="C143" s="97" t="str">
        <f>VLOOKUP(B143,Stock!$A$2:$B$133,2,0)</f>
        <v>#N/A</v>
      </c>
      <c r="D143" s="95"/>
      <c r="E143" s="98"/>
    </row>
    <row r="144" ht="15.75" customHeight="1">
      <c r="A144" s="95"/>
      <c r="B144" s="96"/>
      <c r="C144" s="97" t="str">
        <f>VLOOKUP(B144,Stock!$A$2:$B$133,2,0)</f>
        <v>#N/A</v>
      </c>
      <c r="D144" s="95"/>
      <c r="E144" s="98"/>
    </row>
    <row r="145" ht="15.75" customHeight="1">
      <c r="A145" s="95"/>
      <c r="B145" s="96"/>
      <c r="C145" s="97" t="str">
        <f>VLOOKUP(B145,Stock!$A$2:$B$133,2,0)</f>
        <v>#N/A</v>
      </c>
      <c r="D145" s="95"/>
      <c r="E145" s="98"/>
    </row>
    <row r="146" ht="15.75" customHeight="1">
      <c r="A146" s="95"/>
      <c r="B146" s="96"/>
      <c r="C146" s="97" t="str">
        <f>VLOOKUP(B146,Stock!$A$2:$B$133,2,0)</f>
        <v>#N/A</v>
      </c>
      <c r="D146" s="95"/>
      <c r="E146" s="98"/>
    </row>
    <row r="147" ht="15.75" customHeight="1">
      <c r="A147" s="95"/>
      <c r="B147" s="96"/>
      <c r="C147" s="97" t="str">
        <f>VLOOKUP(B147,Stock!$A$2:$B$133,2,0)</f>
        <v>#N/A</v>
      </c>
      <c r="D147" s="95"/>
      <c r="E147" s="98"/>
    </row>
    <row r="148" ht="15.75" customHeight="1">
      <c r="A148" s="95"/>
      <c r="B148" s="96"/>
      <c r="C148" s="97" t="str">
        <f>VLOOKUP(B148,Stock!$A$2:$B$133,2,0)</f>
        <v>#N/A</v>
      </c>
      <c r="D148" s="95"/>
      <c r="E148" s="98"/>
    </row>
    <row r="149" ht="15.75" customHeight="1">
      <c r="A149" s="95"/>
      <c r="B149" s="96"/>
      <c r="C149" s="97" t="str">
        <f>VLOOKUP(B149,Stock!$A$2:$B$133,2,0)</f>
        <v>#N/A</v>
      </c>
      <c r="D149" s="95"/>
      <c r="E149" s="98"/>
    </row>
    <row r="150" ht="15.75" customHeight="1">
      <c r="A150" s="95"/>
      <c r="B150" s="96"/>
      <c r="C150" s="97" t="str">
        <f>VLOOKUP(B150,Stock!$A$2:$B$133,2,0)</f>
        <v>#N/A</v>
      </c>
      <c r="D150" s="95"/>
      <c r="E150" s="98"/>
    </row>
    <row r="151" ht="15.75" customHeight="1">
      <c r="A151" s="95"/>
      <c r="B151" s="96"/>
      <c r="C151" s="97" t="str">
        <f>VLOOKUP(B151,Stock!$A$2:$B$133,2,0)</f>
        <v>#N/A</v>
      </c>
      <c r="D151" s="95"/>
      <c r="E151" s="98"/>
    </row>
    <row r="152" ht="15.75" customHeight="1">
      <c r="A152" s="95"/>
      <c r="B152" s="96"/>
      <c r="C152" s="97" t="str">
        <f>VLOOKUP(B152,Stock!$A$2:$B$133,2,0)</f>
        <v>#N/A</v>
      </c>
      <c r="D152" s="95"/>
      <c r="E152" s="98"/>
    </row>
    <row r="153" ht="15.75" customHeight="1">
      <c r="A153" s="95"/>
      <c r="B153" s="96"/>
      <c r="C153" s="97" t="str">
        <f>VLOOKUP(B153,Stock!$A$2:$B$133,2,0)</f>
        <v>#N/A</v>
      </c>
      <c r="D153" s="95"/>
      <c r="E153" s="98"/>
    </row>
    <row r="154" ht="15.75" customHeight="1">
      <c r="A154" s="95"/>
      <c r="B154" s="96"/>
      <c r="C154" s="97" t="str">
        <f>VLOOKUP(B154,Stock!$A$2:$B$133,2,0)</f>
        <v>#N/A</v>
      </c>
      <c r="D154" s="95"/>
      <c r="E154" s="98"/>
    </row>
    <row r="155" ht="15.75" customHeight="1">
      <c r="A155" s="95"/>
      <c r="B155" s="96"/>
      <c r="C155" s="97" t="str">
        <f>VLOOKUP(B155,Stock!$A$2:$B$133,2,0)</f>
        <v>#N/A</v>
      </c>
      <c r="D155" s="95"/>
      <c r="E155" s="98"/>
    </row>
    <row r="156" ht="15.75" customHeight="1">
      <c r="A156" s="95"/>
      <c r="B156" s="96"/>
      <c r="C156" s="97" t="str">
        <f>VLOOKUP(B156,Stock!$A$2:$B$133,2,0)</f>
        <v>#N/A</v>
      </c>
      <c r="D156" s="95"/>
      <c r="E156" s="98"/>
    </row>
    <row r="157" ht="15.75" customHeight="1">
      <c r="A157" s="95"/>
      <c r="B157" s="96"/>
      <c r="C157" s="97" t="str">
        <f>VLOOKUP(B157,Stock!$A$2:$B$133,2,0)</f>
        <v>#N/A</v>
      </c>
      <c r="D157" s="95"/>
      <c r="E157" s="98"/>
    </row>
    <row r="158" ht="15.75" customHeight="1">
      <c r="A158" s="95"/>
      <c r="B158" s="96"/>
      <c r="C158" s="97" t="str">
        <f>VLOOKUP(B158,Stock!$A$2:$B$133,2,0)</f>
        <v>#N/A</v>
      </c>
      <c r="D158" s="95"/>
      <c r="E158" s="98"/>
    </row>
    <row r="159" ht="15.75" customHeight="1">
      <c r="A159" s="95"/>
      <c r="B159" s="96"/>
      <c r="C159" s="97" t="str">
        <f>VLOOKUP(B159,Stock!$A$2:$B$133,2,0)</f>
        <v>#N/A</v>
      </c>
      <c r="D159" s="95"/>
      <c r="E159" s="98"/>
    </row>
    <row r="160" ht="15.75" customHeight="1">
      <c r="A160" s="95"/>
      <c r="B160" s="96"/>
      <c r="C160" s="97" t="str">
        <f>VLOOKUP(B160,Stock!$A$2:$B$133,2,0)</f>
        <v>#N/A</v>
      </c>
      <c r="D160" s="95"/>
      <c r="E160" s="98"/>
    </row>
    <row r="161" ht="15.75" customHeight="1">
      <c r="A161" s="95"/>
      <c r="B161" s="96"/>
      <c r="C161" s="97" t="str">
        <f>VLOOKUP(B161,Stock!$A$2:$B$133,2,0)</f>
        <v>#N/A</v>
      </c>
      <c r="D161" s="95"/>
      <c r="E161" s="98"/>
    </row>
    <row r="162" ht="15.75" customHeight="1">
      <c r="A162" s="95"/>
      <c r="B162" s="96"/>
      <c r="C162" s="97" t="str">
        <f>VLOOKUP(B162,Stock!$A$2:$B$133,2,0)</f>
        <v>#N/A</v>
      </c>
      <c r="D162" s="95"/>
      <c r="E162" s="98"/>
    </row>
    <row r="163" ht="15.75" customHeight="1">
      <c r="A163" s="95"/>
      <c r="B163" s="96"/>
      <c r="C163" s="97" t="str">
        <f>VLOOKUP(B163,Stock!$A$2:$B$133,2,0)</f>
        <v>#N/A</v>
      </c>
      <c r="D163" s="95"/>
      <c r="E163" s="98"/>
    </row>
    <row r="164" ht="15.75" customHeight="1">
      <c r="A164" s="95"/>
      <c r="B164" s="96"/>
      <c r="C164" s="97" t="str">
        <f>VLOOKUP(B164,Stock!$A$2:$B$133,2,0)</f>
        <v>#N/A</v>
      </c>
      <c r="D164" s="95"/>
      <c r="E164" s="98"/>
    </row>
    <row r="165" ht="15.75" customHeight="1">
      <c r="A165" s="95"/>
      <c r="B165" s="96"/>
      <c r="C165" s="97" t="str">
        <f>VLOOKUP(B165,Stock!$A$2:$B$133,2,0)</f>
        <v>#N/A</v>
      </c>
      <c r="D165" s="95"/>
      <c r="E165" s="98"/>
    </row>
    <row r="166" ht="15.75" customHeight="1">
      <c r="A166" s="95"/>
      <c r="B166" s="96"/>
      <c r="C166" s="97" t="str">
        <f>VLOOKUP(B166,Stock!$A$2:$B$133,2,0)</f>
        <v>#N/A</v>
      </c>
      <c r="D166" s="95"/>
      <c r="E166" s="98"/>
    </row>
    <row r="167" ht="15.75" customHeight="1">
      <c r="A167" s="95"/>
      <c r="B167" s="96"/>
      <c r="C167" s="97" t="str">
        <f>VLOOKUP(B167,Stock!$A$2:$B$133,2,0)</f>
        <v>#N/A</v>
      </c>
      <c r="D167" s="95"/>
      <c r="E167" s="98"/>
    </row>
    <row r="168" ht="15.75" customHeight="1">
      <c r="A168" s="95"/>
      <c r="B168" s="96"/>
      <c r="C168" s="97" t="str">
        <f>VLOOKUP(B168,Stock!$A$2:$B$133,2,0)</f>
        <v>#N/A</v>
      </c>
      <c r="D168" s="95"/>
      <c r="E168" s="98"/>
    </row>
    <row r="169" ht="15.75" customHeight="1">
      <c r="A169" s="95"/>
      <c r="B169" s="96"/>
      <c r="C169" s="97" t="str">
        <f>VLOOKUP(B169,Stock!$A$2:$B$133,2,0)</f>
        <v>#N/A</v>
      </c>
      <c r="D169" s="95"/>
      <c r="E169" s="98"/>
    </row>
    <row r="170" ht="15.75" customHeight="1">
      <c r="A170" s="95"/>
      <c r="B170" s="96"/>
      <c r="C170" s="97" t="str">
        <f>VLOOKUP(B170,Stock!$A$2:$B$133,2,0)</f>
        <v>#N/A</v>
      </c>
      <c r="D170" s="95"/>
      <c r="E170" s="98"/>
    </row>
    <row r="171" ht="15.75" customHeight="1">
      <c r="A171" s="95"/>
      <c r="B171" s="96"/>
      <c r="C171" s="97" t="str">
        <f>VLOOKUP(B171,Stock!$A$2:$B$133,2,0)</f>
        <v>#N/A</v>
      </c>
      <c r="D171" s="95"/>
      <c r="E171" s="98"/>
    </row>
    <row r="172" ht="15.75" customHeight="1">
      <c r="A172" s="95"/>
      <c r="B172" s="96"/>
      <c r="C172" s="97" t="str">
        <f>VLOOKUP(B172,Stock!$A$2:$B$133,2,0)</f>
        <v>#N/A</v>
      </c>
      <c r="D172" s="95"/>
      <c r="E172" s="98"/>
    </row>
    <row r="173" ht="15.75" customHeight="1">
      <c r="A173" s="95"/>
      <c r="B173" s="96"/>
      <c r="C173" s="97" t="str">
        <f>VLOOKUP(B173,Stock!$A$2:$B$133,2,0)</f>
        <v>#N/A</v>
      </c>
      <c r="D173" s="95"/>
      <c r="E173" s="98"/>
    </row>
    <row r="174" ht="15.75" customHeight="1">
      <c r="A174" s="95"/>
      <c r="B174" s="96"/>
      <c r="C174" s="97" t="str">
        <f>VLOOKUP(B174,Stock!$A$2:$B$133,2,0)</f>
        <v>#N/A</v>
      </c>
      <c r="D174" s="95"/>
      <c r="E174" s="98"/>
    </row>
    <row r="175" ht="15.75" customHeight="1">
      <c r="A175" s="95"/>
      <c r="B175" s="96"/>
      <c r="C175" s="97" t="str">
        <f>VLOOKUP(B175,Stock!$A$2:$B$133,2,0)</f>
        <v>#N/A</v>
      </c>
      <c r="D175" s="95"/>
      <c r="E175" s="98"/>
    </row>
    <row r="176" ht="15.75" customHeight="1">
      <c r="A176" s="95"/>
      <c r="B176" s="96"/>
      <c r="C176" s="97" t="str">
        <f>VLOOKUP(B176,Stock!$A$2:$B$133,2,0)</f>
        <v>#N/A</v>
      </c>
      <c r="D176" s="95"/>
      <c r="E176" s="98"/>
    </row>
    <row r="177" ht="15.75" customHeight="1">
      <c r="A177" s="95"/>
      <c r="B177" s="96"/>
      <c r="C177" s="97" t="str">
        <f>VLOOKUP(B177,Stock!$A$2:$B$133,2,0)</f>
        <v>#N/A</v>
      </c>
      <c r="D177" s="95"/>
      <c r="E177" s="98"/>
    </row>
    <row r="178" ht="15.75" customHeight="1">
      <c r="A178" s="95"/>
      <c r="B178" s="96"/>
      <c r="C178" s="97" t="str">
        <f>VLOOKUP(B178,Stock!$A$2:$B$133,2,0)</f>
        <v>#N/A</v>
      </c>
      <c r="D178" s="95"/>
      <c r="E178" s="98"/>
    </row>
    <row r="179" ht="15.75" customHeight="1">
      <c r="A179" s="95"/>
      <c r="B179" s="96"/>
      <c r="C179" s="97" t="str">
        <f>VLOOKUP(B179,Stock!$A$2:$B$133,2,0)</f>
        <v>#N/A</v>
      </c>
      <c r="D179" s="95"/>
      <c r="E179" s="98"/>
    </row>
    <row r="180" ht="15.75" customHeight="1">
      <c r="A180" s="95"/>
      <c r="B180" s="96"/>
      <c r="C180" s="97" t="str">
        <f>VLOOKUP(B180,Stock!$A$2:$B$133,2,0)</f>
        <v>#N/A</v>
      </c>
      <c r="D180" s="95"/>
      <c r="E180" s="98"/>
    </row>
    <row r="181" ht="15.75" customHeight="1">
      <c r="A181" s="95"/>
      <c r="B181" s="96"/>
      <c r="C181" s="97" t="str">
        <f>VLOOKUP(B181,Stock!$A$2:$B$133,2,0)</f>
        <v>#N/A</v>
      </c>
      <c r="D181" s="95"/>
      <c r="E181" s="98"/>
    </row>
    <row r="182" ht="15.75" customHeight="1">
      <c r="A182" s="95"/>
      <c r="B182" s="96"/>
      <c r="C182" s="97" t="str">
        <f>VLOOKUP(B182,Stock!$A$2:$B$133,2,0)</f>
        <v>#N/A</v>
      </c>
      <c r="D182" s="95"/>
      <c r="E182" s="98"/>
    </row>
    <row r="183" ht="15.75" customHeight="1">
      <c r="A183" s="95"/>
      <c r="B183" s="96"/>
      <c r="C183" s="97" t="str">
        <f>VLOOKUP(B183,Stock!$A$2:$B$133,2,0)</f>
        <v>#N/A</v>
      </c>
      <c r="D183" s="95"/>
      <c r="E183" s="98"/>
    </row>
    <row r="184" ht="15.75" customHeight="1">
      <c r="A184" s="95"/>
      <c r="B184" s="96"/>
      <c r="C184" s="97" t="str">
        <f>VLOOKUP(B184,Stock!$A$2:$B$133,2,0)</f>
        <v>#N/A</v>
      </c>
      <c r="D184" s="95"/>
      <c r="E184" s="98"/>
    </row>
    <row r="185" ht="15.75" customHeight="1">
      <c r="A185" s="95"/>
      <c r="B185" s="96"/>
      <c r="C185" s="97" t="str">
        <f>VLOOKUP(B185,Stock!$A$2:$B$133,2,0)</f>
        <v>#N/A</v>
      </c>
      <c r="D185" s="95"/>
      <c r="E185" s="98"/>
    </row>
    <row r="186" ht="15.75" customHeight="1">
      <c r="A186" s="95"/>
      <c r="B186" s="96"/>
      <c r="C186" s="97" t="str">
        <f>VLOOKUP(B186,Stock!$A$2:$B$133,2,0)</f>
        <v>#N/A</v>
      </c>
      <c r="D186" s="95"/>
      <c r="E186" s="98"/>
    </row>
    <row r="187" ht="15.75" customHeight="1">
      <c r="A187" s="95"/>
      <c r="B187" s="96"/>
      <c r="C187" s="97" t="str">
        <f>VLOOKUP(B187,Stock!$A$2:$B$133,2,0)</f>
        <v>#N/A</v>
      </c>
      <c r="D187" s="95"/>
      <c r="E187" s="98"/>
    </row>
    <row r="188" ht="15.75" customHeight="1">
      <c r="A188" s="95"/>
      <c r="B188" s="96"/>
      <c r="C188" s="97" t="str">
        <f>VLOOKUP(B188,Stock!$A$2:$B$133,2,0)</f>
        <v>#N/A</v>
      </c>
      <c r="D188" s="95"/>
      <c r="E188" s="98"/>
    </row>
    <row r="189" ht="15.75" customHeight="1">
      <c r="A189" s="95"/>
      <c r="B189" s="96"/>
      <c r="C189" s="97" t="str">
        <f>VLOOKUP(B189,Stock!$A$2:$B$133,2,0)</f>
        <v>#N/A</v>
      </c>
      <c r="D189" s="95"/>
      <c r="E189" s="98"/>
    </row>
    <row r="190" ht="15.75" customHeight="1">
      <c r="A190" s="95"/>
      <c r="B190" s="96"/>
      <c r="C190" s="97" t="str">
        <f>VLOOKUP(B190,Stock!$A$2:$B$133,2,0)</f>
        <v>#N/A</v>
      </c>
      <c r="D190" s="95"/>
      <c r="E190" s="98"/>
    </row>
    <row r="191" ht="15.75" customHeight="1">
      <c r="A191" s="95"/>
      <c r="B191" s="96"/>
      <c r="C191" s="97" t="str">
        <f>VLOOKUP(B191,Stock!$A$2:$B$133,2,0)</f>
        <v>#N/A</v>
      </c>
      <c r="D191" s="95"/>
      <c r="E191" s="98"/>
    </row>
    <row r="192" ht="15.75" customHeight="1">
      <c r="A192" s="95"/>
      <c r="B192" s="96"/>
      <c r="C192" s="97" t="str">
        <f>VLOOKUP(B192,Stock!$A$2:$B$133,2,0)</f>
        <v>#N/A</v>
      </c>
      <c r="D192" s="95"/>
      <c r="E192" s="98"/>
    </row>
    <row r="193" ht="15.75" customHeight="1">
      <c r="A193" s="95"/>
      <c r="B193" s="96"/>
      <c r="C193" s="97" t="str">
        <f>VLOOKUP(B193,Stock!$A$2:$B$133,2,0)</f>
        <v>#N/A</v>
      </c>
      <c r="D193" s="95"/>
      <c r="E193" s="98"/>
    </row>
    <row r="194" ht="15.75" customHeight="1">
      <c r="A194" s="95"/>
      <c r="B194" s="95"/>
      <c r="C194" s="97" t="str">
        <f>VLOOKUP(B194,Stock!$A$2:$B$133,2,0)</f>
        <v>#N/A</v>
      </c>
      <c r="D194" s="101"/>
      <c r="E194" s="98"/>
    </row>
    <row r="195" ht="15.75" customHeight="1">
      <c r="A195" s="95"/>
      <c r="B195" s="95"/>
      <c r="C195" s="97" t="str">
        <f>VLOOKUP(B195,Stock!$A$2:$B$133,2,0)</f>
        <v>#N/A</v>
      </c>
      <c r="D195" s="101"/>
      <c r="E195" s="98"/>
    </row>
    <row r="196" ht="15.75" customHeight="1">
      <c r="A196" s="95"/>
      <c r="B196" s="95"/>
      <c r="C196" s="97" t="str">
        <f>VLOOKUP(B196,Stock!$A$2:$B$133,2,0)</f>
        <v>#N/A</v>
      </c>
      <c r="D196" s="101"/>
      <c r="E196" s="98"/>
    </row>
    <row r="197" ht="15.75" customHeight="1">
      <c r="A197" s="95"/>
      <c r="B197" s="95"/>
      <c r="C197" s="97" t="str">
        <f>VLOOKUP(B197,Stock!$A$2:$B$133,2,0)</f>
        <v>#N/A</v>
      </c>
      <c r="D197" s="101"/>
      <c r="E197" s="98"/>
    </row>
    <row r="198" ht="15.75" customHeight="1">
      <c r="A198" s="95"/>
      <c r="B198" s="95"/>
      <c r="C198" s="97" t="str">
        <f>VLOOKUP(B198,Stock!$A$2:$B$133,2,0)</f>
        <v>#N/A</v>
      </c>
      <c r="D198" s="101"/>
      <c r="E198" s="98"/>
    </row>
    <row r="199" ht="15.75" customHeight="1">
      <c r="A199" s="95"/>
      <c r="B199" s="95"/>
      <c r="C199" s="97" t="str">
        <f>VLOOKUP(B199,Stock!$A$2:$B$133,2,0)</f>
        <v>#N/A</v>
      </c>
      <c r="D199" s="101"/>
      <c r="E199" s="98"/>
    </row>
    <row r="200" ht="15.75" customHeight="1">
      <c r="A200" s="95"/>
      <c r="B200" s="95"/>
      <c r="C200" s="97" t="str">
        <f>VLOOKUP(B200,Stock!$A$2:$B$133,2,0)</f>
        <v>#N/A</v>
      </c>
      <c r="D200" s="101"/>
      <c r="E200" s="98"/>
    </row>
    <row r="201" ht="15.75" customHeight="1">
      <c r="A201" s="95"/>
      <c r="B201" s="95"/>
      <c r="C201" s="97" t="str">
        <f>VLOOKUP(B201,Stock!$A$2:$B$133,2,0)</f>
        <v>#N/A</v>
      </c>
      <c r="D201" s="101"/>
      <c r="E201" s="98"/>
    </row>
    <row r="202" ht="15.75" customHeight="1">
      <c r="A202" s="95"/>
      <c r="B202" s="95"/>
      <c r="C202" s="97" t="str">
        <f>VLOOKUP(B202,Stock!$A$2:$B$133,2,0)</f>
        <v>#N/A</v>
      </c>
      <c r="D202" s="101"/>
      <c r="E202" s="98"/>
    </row>
    <row r="203" ht="15.75" customHeight="1">
      <c r="A203" s="95"/>
      <c r="B203" s="95"/>
      <c r="C203" s="97" t="str">
        <f>VLOOKUP(B203,Stock!$A$2:$B$133,2,0)</f>
        <v>#N/A</v>
      </c>
      <c r="D203" s="101"/>
      <c r="E203" s="98"/>
    </row>
    <row r="204" ht="15.75" customHeight="1">
      <c r="A204" s="95"/>
      <c r="B204" s="95"/>
      <c r="C204" s="97" t="str">
        <f>VLOOKUP(B204,Stock!$A$2:$B$133,2,0)</f>
        <v>#N/A</v>
      </c>
      <c r="D204" s="101"/>
      <c r="E204" s="98"/>
    </row>
    <row r="205" ht="15.75" customHeight="1">
      <c r="A205" s="95"/>
      <c r="B205" s="95"/>
      <c r="C205" s="97" t="str">
        <f>VLOOKUP(B205,Stock!$A$2:$B$133,2,0)</f>
        <v>#N/A</v>
      </c>
      <c r="D205" s="101"/>
      <c r="E205" s="98"/>
    </row>
    <row r="206" ht="15.75" customHeight="1">
      <c r="A206" s="95"/>
      <c r="B206" s="95"/>
      <c r="C206" s="97" t="str">
        <f>VLOOKUP(B206,Stock!$A$2:$B$133,2,0)</f>
        <v>#N/A</v>
      </c>
      <c r="D206" s="101"/>
      <c r="E206" s="98"/>
    </row>
    <row r="207" ht="15.75" customHeight="1">
      <c r="A207" s="95"/>
      <c r="B207" s="95"/>
      <c r="C207" s="97" t="str">
        <f>VLOOKUP(B207,Stock!$A$2:$B$133,2,0)</f>
        <v>#N/A</v>
      </c>
      <c r="D207" s="101"/>
      <c r="E207" s="98"/>
    </row>
    <row r="208" ht="15.75" customHeight="1">
      <c r="A208" s="95"/>
      <c r="B208" s="95"/>
      <c r="C208" s="97" t="str">
        <f>VLOOKUP(B208,Stock!$A$2:$B$133,2,0)</f>
        <v>#N/A</v>
      </c>
      <c r="D208" s="101"/>
      <c r="E208" s="98"/>
    </row>
    <row r="209" ht="15.75" customHeight="1">
      <c r="A209" s="95"/>
      <c r="B209" s="95"/>
      <c r="C209" s="97" t="str">
        <f>VLOOKUP(B209,Stock!$A$2:$B$133,2,0)</f>
        <v>#N/A</v>
      </c>
      <c r="D209" s="101"/>
      <c r="E209" s="98"/>
    </row>
    <row r="210" ht="15.75" customHeight="1">
      <c r="A210" s="95"/>
      <c r="B210" s="95"/>
      <c r="C210" s="97" t="str">
        <f>VLOOKUP(B210,Stock!$A$2:$B$133,2,0)</f>
        <v>#N/A</v>
      </c>
      <c r="D210" s="101"/>
      <c r="E210" s="98"/>
    </row>
    <row r="211" ht="15.75" customHeight="1">
      <c r="A211" s="95"/>
      <c r="B211" s="95"/>
      <c r="C211" s="97" t="str">
        <f>VLOOKUP(B211,Stock!$A$2:$B$133,2,0)</f>
        <v>#N/A</v>
      </c>
      <c r="D211" s="101"/>
      <c r="E211" s="98"/>
    </row>
    <row r="212" ht="15.75" customHeight="1">
      <c r="A212" s="95"/>
      <c r="B212" s="95"/>
      <c r="C212" s="97" t="str">
        <f>VLOOKUP(B212,Stock!$A$2:$B$133,2,0)</f>
        <v>#N/A</v>
      </c>
      <c r="D212" s="101"/>
      <c r="E212" s="98"/>
    </row>
    <row r="213" ht="15.75" customHeight="1">
      <c r="A213" s="95"/>
      <c r="B213" s="95"/>
      <c r="C213" s="97" t="str">
        <f>VLOOKUP(B213,Stock!$A$2:$B$133,2,0)</f>
        <v>#N/A</v>
      </c>
      <c r="D213" s="101"/>
      <c r="E213" s="98"/>
    </row>
    <row r="214" ht="15.75" customHeight="1">
      <c r="A214" s="95"/>
      <c r="B214" s="95"/>
      <c r="C214" s="97" t="str">
        <f>VLOOKUP(B214,Stock!$A$2:$B$133,2,0)</f>
        <v>#N/A</v>
      </c>
      <c r="D214" s="101"/>
      <c r="E214" s="98"/>
    </row>
    <row r="215" ht="15.75" customHeight="1">
      <c r="A215" s="95"/>
      <c r="B215" s="95"/>
      <c r="C215" s="97" t="str">
        <f>VLOOKUP(B215,Stock!$A$2:$B$133,2,0)</f>
        <v>#N/A</v>
      </c>
      <c r="D215" s="101"/>
      <c r="E215" s="98"/>
    </row>
    <row r="216" ht="15.75" customHeight="1">
      <c r="A216" s="95"/>
      <c r="B216" s="95"/>
      <c r="C216" s="97" t="str">
        <f>VLOOKUP(B216,Stock!$A$2:$B$133,2,0)</f>
        <v>#N/A</v>
      </c>
      <c r="D216" s="101"/>
      <c r="E216" s="98"/>
    </row>
    <row r="217" ht="15.75" customHeight="1">
      <c r="A217" s="95"/>
      <c r="B217" s="95"/>
      <c r="C217" s="97" t="str">
        <f>VLOOKUP(B217,Stock!$A$2:$B$133,2,0)</f>
        <v>#N/A</v>
      </c>
      <c r="D217" s="101"/>
      <c r="E217" s="98"/>
    </row>
    <row r="218" ht="15.75" customHeight="1">
      <c r="A218" s="95"/>
      <c r="B218" s="95"/>
      <c r="C218" s="97" t="str">
        <f>VLOOKUP(B218,Stock!$A$2:$B$133,2,0)</f>
        <v>#N/A</v>
      </c>
      <c r="D218" s="101"/>
      <c r="E218" s="98"/>
    </row>
    <row r="219" ht="15.75" customHeight="1">
      <c r="A219" s="95"/>
      <c r="B219" s="95"/>
      <c r="C219" s="97" t="str">
        <f>VLOOKUP(B219,Stock!$A$2:$B$133,2,0)</f>
        <v>#N/A</v>
      </c>
      <c r="D219" s="101"/>
      <c r="E219" s="98"/>
    </row>
    <row r="220" ht="15.75" customHeight="1">
      <c r="A220" s="95"/>
      <c r="B220" s="95"/>
      <c r="C220" s="97" t="str">
        <f>VLOOKUP(B220,Stock!$A$2:$B$133,2,0)</f>
        <v>#N/A</v>
      </c>
      <c r="D220" s="101"/>
      <c r="E220" s="98"/>
    </row>
    <row r="221" ht="15.75" customHeight="1">
      <c r="A221" s="95"/>
      <c r="B221" s="95"/>
      <c r="C221" s="97" t="str">
        <f>VLOOKUP(B221,Stock!$A$2:$B$133,2,0)</f>
        <v>#N/A</v>
      </c>
      <c r="D221" s="101"/>
      <c r="E221" s="98"/>
    </row>
    <row r="222" ht="15.75" customHeight="1">
      <c r="A222" s="95"/>
      <c r="B222" s="95"/>
      <c r="C222" s="97" t="str">
        <f>VLOOKUP(B222,Stock!$A$2:$B$133,2,0)</f>
        <v>#N/A</v>
      </c>
      <c r="D222" s="101"/>
      <c r="E222" s="98"/>
    </row>
    <row r="223" ht="15.75" customHeight="1">
      <c r="A223" s="95"/>
      <c r="B223" s="95"/>
      <c r="C223" s="97" t="str">
        <f>VLOOKUP(B223,Stock!$A$2:$B$133,2,0)</f>
        <v>#N/A</v>
      </c>
      <c r="D223" s="101"/>
      <c r="E223" s="98"/>
    </row>
    <row r="224" ht="15.75" customHeight="1">
      <c r="A224" s="95"/>
      <c r="B224" s="95"/>
      <c r="C224" s="97" t="str">
        <f>VLOOKUP(B224,Stock!$A$2:$B$133,2,0)</f>
        <v>#N/A</v>
      </c>
      <c r="D224" s="101"/>
      <c r="E224" s="98"/>
    </row>
    <row r="225" ht="15.75" customHeight="1">
      <c r="A225" s="95"/>
      <c r="B225" s="95"/>
      <c r="C225" s="97" t="str">
        <f>VLOOKUP(B225,Stock!$A$2:$B$133,2,0)</f>
        <v>#N/A</v>
      </c>
      <c r="D225" s="101"/>
      <c r="E225" s="98"/>
    </row>
    <row r="226" ht="15.75" customHeight="1">
      <c r="A226" s="95"/>
      <c r="B226" s="95"/>
      <c r="C226" s="97" t="str">
        <f>VLOOKUP(B226,Stock!$A$2:$B$133,2,0)</f>
        <v>#N/A</v>
      </c>
      <c r="D226" s="101"/>
      <c r="E226" s="98"/>
    </row>
    <row r="227" ht="15.75" customHeight="1">
      <c r="A227" s="95"/>
      <c r="B227" s="95"/>
      <c r="C227" s="97" t="str">
        <f>VLOOKUP(B227,Stock!$A$2:$B$133,2,0)</f>
        <v>#N/A</v>
      </c>
      <c r="D227" s="101"/>
      <c r="E227" s="98"/>
    </row>
    <row r="228" ht="15.75" customHeight="1">
      <c r="A228" s="95"/>
      <c r="B228" s="95"/>
      <c r="C228" s="97" t="str">
        <f>VLOOKUP(B228,Stock!$A$2:$B$133,2,0)</f>
        <v>#N/A</v>
      </c>
      <c r="D228" s="101"/>
      <c r="E228" s="98"/>
    </row>
    <row r="229" ht="15.75" customHeight="1">
      <c r="A229" s="95"/>
      <c r="B229" s="95"/>
      <c r="C229" s="97" t="str">
        <f>VLOOKUP(B229,Stock!$A$2:$B$133,2,0)</f>
        <v>#N/A</v>
      </c>
      <c r="D229" s="101"/>
      <c r="E229" s="98"/>
    </row>
    <row r="230" ht="15.75" customHeight="1">
      <c r="A230" s="95"/>
      <c r="B230" s="95"/>
      <c r="C230" s="97" t="str">
        <f>VLOOKUP(B230,Stock!$A$2:$B$133,2,0)</f>
        <v>#N/A</v>
      </c>
      <c r="D230" s="101"/>
      <c r="E230" s="98"/>
    </row>
    <row r="231" ht="15.75" customHeight="1">
      <c r="A231" s="95"/>
      <c r="B231" s="95"/>
      <c r="C231" s="97" t="str">
        <f>VLOOKUP(B231,Stock!$A$2:$B$133,2,0)</f>
        <v>#N/A</v>
      </c>
      <c r="D231" s="101"/>
      <c r="E231" s="98"/>
    </row>
    <row r="232" ht="15.75" customHeight="1">
      <c r="A232" s="95"/>
      <c r="B232" s="95"/>
      <c r="C232" s="97" t="str">
        <f>VLOOKUP(B232,Stock!$A$2:$B$133,2,0)</f>
        <v>#N/A</v>
      </c>
      <c r="D232" s="101"/>
      <c r="E232" s="98"/>
    </row>
    <row r="233" ht="15.75" customHeight="1">
      <c r="A233" s="95"/>
      <c r="B233" s="95"/>
      <c r="C233" s="97" t="str">
        <f>VLOOKUP(B233,Stock!$A$2:$B$133,2,0)</f>
        <v>#N/A</v>
      </c>
      <c r="D233" s="101"/>
      <c r="E233" s="98"/>
    </row>
    <row r="234" ht="15.75" customHeight="1">
      <c r="A234" s="95"/>
      <c r="B234" s="95"/>
      <c r="C234" s="97" t="str">
        <f>VLOOKUP(B234,Stock!$A$2:$B$133,2,0)</f>
        <v>#N/A</v>
      </c>
      <c r="D234" s="101"/>
      <c r="E234" s="98"/>
    </row>
    <row r="235" ht="15.75" customHeight="1">
      <c r="A235" s="95"/>
      <c r="B235" s="95"/>
      <c r="C235" s="97" t="str">
        <f>VLOOKUP(B235,Stock!$A$2:$B$133,2,0)</f>
        <v>#N/A</v>
      </c>
      <c r="D235" s="101"/>
      <c r="E235" s="98"/>
    </row>
    <row r="236" ht="15.75" customHeight="1">
      <c r="A236" s="95"/>
      <c r="B236" s="95"/>
      <c r="C236" s="97" t="str">
        <f>VLOOKUP(B236,Stock!$A$2:$B$133,2,0)</f>
        <v>#N/A</v>
      </c>
      <c r="D236" s="101"/>
      <c r="E236" s="98"/>
    </row>
    <row r="237" ht="15.75" customHeight="1">
      <c r="A237" s="95"/>
      <c r="B237" s="95"/>
      <c r="C237" s="97" t="str">
        <f>VLOOKUP(B237,Stock!$A$2:$B$133,2,0)</f>
        <v>#N/A</v>
      </c>
      <c r="D237" s="101"/>
      <c r="E237" s="98"/>
    </row>
    <row r="238" ht="15.75" customHeight="1">
      <c r="A238" s="95"/>
      <c r="B238" s="95"/>
      <c r="C238" s="97" t="str">
        <f>VLOOKUP(B238,Stock!$A$2:$B$133,2,0)</f>
        <v>#N/A</v>
      </c>
      <c r="D238" s="101"/>
      <c r="E238" s="98"/>
    </row>
    <row r="239" ht="15.75" customHeight="1">
      <c r="A239" s="95"/>
      <c r="B239" s="95"/>
      <c r="C239" s="97" t="str">
        <f>VLOOKUP(B239,Stock!$A$2:$B$133,2,0)</f>
        <v>#N/A</v>
      </c>
      <c r="D239" s="101"/>
      <c r="E239" s="98"/>
    </row>
    <row r="240" ht="15.75" customHeight="1">
      <c r="A240" s="95"/>
      <c r="B240" s="95"/>
      <c r="C240" s="97" t="str">
        <f>VLOOKUP(B240,Stock!$A$2:$B$133,2,0)</f>
        <v>#N/A</v>
      </c>
      <c r="D240" s="101"/>
      <c r="E240" s="98"/>
    </row>
    <row r="241" ht="15.75" customHeight="1">
      <c r="A241" s="95"/>
      <c r="B241" s="95"/>
      <c r="C241" s="97" t="str">
        <f>VLOOKUP(B241,Stock!$A$2:$B$133,2,0)</f>
        <v>#N/A</v>
      </c>
      <c r="D241" s="101"/>
      <c r="E241" s="98"/>
    </row>
    <row r="242" ht="15.75" customHeight="1">
      <c r="A242" s="95"/>
      <c r="B242" s="95"/>
      <c r="C242" s="97" t="str">
        <f>VLOOKUP(B242,Stock!$A$2:$B$133,2,0)</f>
        <v>#N/A</v>
      </c>
      <c r="D242" s="101"/>
      <c r="E242" s="98"/>
    </row>
    <row r="243" ht="15.75" customHeight="1">
      <c r="A243" s="95"/>
      <c r="B243" s="95"/>
      <c r="C243" s="97" t="str">
        <f>VLOOKUP(B243,Stock!$A$2:$B$133,2,0)</f>
        <v>#N/A</v>
      </c>
      <c r="D243" s="101"/>
      <c r="E243" s="98"/>
    </row>
    <row r="244" ht="15.75" customHeight="1">
      <c r="A244" s="95"/>
      <c r="B244" s="95"/>
      <c r="C244" s="97" t="str">
        <f>VLOOKUP(B244,Stock!$A$2:$B$133,2,0)</f>
        <v>#N/A</v>
      </c>
      <c r="D244" s="101"/>
      <c r="E244" s="98"/>
    </row>
    <row r="245" ht="15.75" customHeight="1">
      <c r="A245" s="95"/>
      <c r="B245" s="95"/>
      <c r="C245" s="97" t="str">
        <f>VLOOKUP(B245,Stock!$A$2:$B$133,2,0)</f>
        <v>#N/A</v>
      </c>
      <c r="D245" s="101"/>
      <c r="E245" s="98"/>
    </row>
    <row r="246" ht="15.75" customHeight="1">
      <c r="A246" s="95"/>
      <c r="B246" s="108"/>
      <c r="C246" s="97" t="str">
        <f>VLOOKUP(B246,Stock!$A$2:$B$133,2,0)</f>
        <v>#N/A</v>
      </c>
      <c r="D246" s="101"/>
      <c r="E246" s="98"/>
    </row>
    <row r="247" ht="15.75" customHeight="1">
      <c r="A247" s="95"/>
      <c r="B247" s="108"/>
      <c r="C247" s="97" t="str">
        <f>VLOOKUP(B247,Stock!$A$2:$B$133,2,0)</f>
        <v>#N/A</v>
      </c>
      <c r="D247" s="101"/>
      <c r="E247" s="98"/>
    </row>
    <row r="248" ht="15.75" customHeight="1">
      <c r="A248" s="95"/>
      <c r="B248" s="108"/>
      <c r="C248" s="97" t="str">
        <f>VLOOKUP(B248,Stock!$A$2:$B$133,2,0)</f>
        <v>#N/A</v>
      </c>
      <c r="D248" s="101"/>
      <c r="E248" s="98"/>
    </row>
    <row r="249" ht="15.75" customHeight="1">
      <c r="A249" s="95"/>
      <c r="B249" s="108"/>
      <c r="C249" s="97" t="str">
        <f>VLOOKUP(B249,Stock!$A$2:$B$133,2,0)</f>
        <v>#N/A</v>
      </c>
      <c r="D249" s="101"/>
      <c r="E249" s="98"/>
    </row>
    <row r="250" ht="15.75" customHeight="1">
      <c r="A250" s="95"/>
      <c r="B250" s="108"/>
      <c r="C250" s="97" t="str">
        <f>VLOOKUP(B250,Stock!$A$2:$B$133,2,0)</f>
        <v>#N/A</v>
      </c>
      <c r="D250" s="101"/>
      <c r="E250" s="98"/>
    </row>
    <row r="251" ht="15.75" customHeight="1">
      <c r="A251" s="95"/>
      <c r="B251" s="108"/>
      <c r="C251" s="97" t="str">
        <f>VLOOKUP(B251,Stock!$A$2:$B$133,2,0)</f>
        <v>#N/A</v>
      </c>
      <c r="D251" s="101"/>
      <c r="E251" s="98"/>
    </row>
    <row r="252" ht="15.75" customHeight="1">
      <c r="A252" s="95"/>
      <c r="B252" s="108"/>
      <c r="C252" s="97" t="str">
        <f>VLOOKUP(B252,Stock!$A$2:$B$133,2,0)</f>
        <v>#N/A</v>
      </c>
      <c r="D252" s="101"/>
      <c r="E252" s="98"/>
    </row>
    <row r="253" ht="15.75" customHeight="1">
      <c r="A253" s="95"/>
      <c r="B253" s="108"/>
      <c r="C253" s="97" t="str">
        <f>VLOOKUP(B253,Stock!$A$2:$B$133,2,0)</f>
        <v>#N/A</v>
      </c>
      <c r="D253" s="101"/>
      <c r="E253" s="98"/>
    </row>
    <row r="254" ht="15.75" customHeight="1">
      <c r="A254" s="95"/>
      <c r="B254" s="108"/>
      <c r="C254" s="97" t="str">
        <f>VLOOKUP(B254,Stock!$A$2:$B$133,2,0)</f>
        <v>#N/A</v>
      </c>
      <c r="D254" s="101"/>
      <c r="E254" s="98"/>
    </row>
    <row r="255" ht="15.75" customHeight="1">
      <c r="A255" s="95"/>
      <c r="B255" s="108"/>
      <c r="C255" s="97" t="str">
        <f>VLOOKUP(B255,Stock!$A$2:$B$133,2,0)</f>
        <v>#N/A</v>
      </c>
      <c r="D255" s="101"/>
      <c r="E255" s="98"/>
    </row>
    <row r="256" ht="15.75" customHeight="1">
      <c r="A256" s="95"/>
      <c r="B256" s="108"/>
      <c r="C256" s="97" t="str">
        <f>VLOOKUP(B256,Stock!$A$2:$B$133,2,0)</f>
        <v>#N/A</v>
      </c>
      <c r="D256" s="101"/>
      <c r="E256" s="98"/>
    </row>
    <row r="257" ht="15.75" customHeight="1">
      <c r="A257" s="95"/>
      <c r="B257" s="108"/>
      <c r="C257" s="97" t="str">
        <f>VLOOKUP(B257,Stock!$A$2:$B$133,2,0)</f>
        <v>#N/A</v>
      </c>
      <c r="D257" s="101"/>
      <c r="E257" s="98"/>
    </row>
    <row r="258" ht="15.75" customHeight="1">
      <c r="A258" s="95"/>
      <c r="B258" s="108"/>
      <c r="C258" s="97" t="str">
        <f>VLOOKUP(B258,Stock!$A$2:$B$133,2,0)</f>
        <v>#N/A</v>
      </c>
      <c r="D258" s="101"/>
      <c r="E258" s="98"/>
    </row>
    <row r="259" ht="15.75" customHeight="1">
      <c r="A259" s="95"/>
      <c r="B259" s="108"/>
      <c r="C259" s="97" t="str">
        <f>VLOOKUP(B259,Stock!$A$2:$B$133,2,0)</f>
        <v>#N/A</v>
      </c>
      <c r="D259" s="101"/>
      <c r="E259" s="98"/>
    </row>
    <row r="260" ht="15.75" customHeight="1">
      <c r="A260" s="95"/>
      <c r="B260" s="108"/>
      <c r="C260" s="97" t="str">
        <f>VLOOKUP(B260,Stock!$A$2:$B$133,2,0)</f>
        <v>#N/A</v>
      </c>
      <c r="D260" s="101"/>
      <c r="E260" s="98"/>
    </row>
    <row r="261" ht="15.75" customHeight="1">
      <c r="A261" s="95"/>
      <c r="B261" s="108"/>
      <c r="C261" s="97" t="str">
        <f>VLOOKUP(B261,Stock!$A$2:$B$133,2,0)</f>
        <v>#N/A</v>
      </c>
      <c r="D261" s="101"/>
      <c r="E261" s="98"/>
    </row>
    <row r="262" ht="15.75" customHeight="1">
      <c r="A262" s="95"/>
      <c r="B262" s="108"/>
      <c r="C262" s="97" t="str">
        <f>VLOOKUP(B262,Stock!$A$2:$B$133,2,0)</f>
        <v>#N/A</v>
      </c>
      <c r="D262" s="101"/>
      <c r="E262" s="98"/>
    </row>
    <row r="263" ht="15.75" customHeight="1">
      <c r="A263" s="95"/>
      <c r="B263" s="108"/>
      <c r="C263" s="97" t="str">
        <f>VLOOKUP(B263,Stock!$A$2:$B$133,2,0)</f>
        <v>#N/A</v>
      </c>
      <c r="D263" s="101"/>
      <c r="E263" s="98"/>
    </row>
    <row r="264" ht="15.75" customHeight="1">
      <c r="A264" s="95"/>
      <c r="B264" s="108"/>
      <c r="C264" s="97" t="str">
        <f>VLOOKUP(B264,Stock!$A$2:$B$133,2,0)</f>
        <v>#N/A</v>
      </c>
      <c r="D264" s="101"/>
      <c r="E264" s="98"/>
    </row>
    <row r="265" ht="15.75" customHeight="1">
      <c r="A265" s="95"/>
      <c r="B265" s="108"/>
      <c r="C265" s="97" t="str">
        <f>VLOOKUP(B265,Stock!$A$2:$B$133,2,0)</f>
        <v>#N/A</v>
      </c>
      <c r="D265" s="101"/>
      <c r="E265" s="98"/>
    </row>
    <row r="266" ht="15.75" customHeight="1">
      <c r="A266" s="95"/>
      <c r="B266" s="108"/>
      <c r="C266" s="97" t="str">
        <f>VLOOKUP(B266,Stock!$A$2:$B$133,2,0)</f>
        <v>#N/A</v>
      </c>
      <c r="D266" s="101"/>
      <c r="E266" s="98"/>
    </row>
    <row r="267" ht="15.75" customHeight="1">
      <c r="A267" s="95"/>
      <c r="B267" s="108"/>
      <c r="C267" s="97" t="str">
        <f>VLOOKUP(B267,Stock!$A$2:$B$133,2,0)</f>
        <v>#N/A</v>
      </c>
      <c r="D267" s="95"/>
      <c r="E267" s="98"/>
    </row>
    <row r="268" ht="15.75" customHeight="1">
      <c r="A268" s="95"/>
      <c r="B268" s="108"/>
      <c r="C268" s="97" t="str">
        <f>VLOOKUP(B268,Stock!$A$2:$B$133,2,0)</f>
        <v>#N/A</v>
      </c>
      <c r="D268" s="95"/>
      <c r="E268" s="98"/>
    </row>
    <row r="269" ht="15.75" customHeight="1">
      <c r="A269" s="95"/>
      <c r="B269" s="108"/>
      <c r="C269" s="97" t="str">
        <f>VLOOKUP(B269,Stock!$A$2:$B$133,2,0)</f>
        <v>#N/A</v>
      </c>
      <c r="D269" s="95"/>
      <c r="E269" s="98"/>
    </row>
    <row r="270" ht="15.75" customHeight="1">
      <c r="A270" s="95"/>
      <c r="B270" s="108"/>
      <c r="C270" s="97" t="str">
        <f>VLOOKUP(B270,Stock!$A$2:$B$133,2,0)</f>
        <v>#N/A</v>
      </c>
      <c r="D270" s="95"/>
      <c r="E270" s="98"/>
    </row>
    <row r="271" ht="15.75" customHeight="1">
      <c r="A271" s="95"/>
      <c r="B271" s="108"/>
      <c r="C271" s="97" t="str">
        <f>VLOOKUP(B271,Stock!$A$2:$B$133,2,0)</f>
        <v>#N/A</v>
      </c>
      <c r="D271" s="95"/>
      <c r="E271" s="98"/>
    </row>
    <row r="272" ht="15.75" customHeight="1">
      <c r="A272" s="95"/>
      <c r="B272" s="108"/>
      <c r="C272" s="97" t="str">
        <f>VLOOKUP(B272,Stock!$A$2:$B$133,2,0)</f>
        <v>#N/A</v>
      </c>
      <c r="D272" s="95"/>
      <c r="E272" s="98"/>
    </row>
    <row r="273" ht="15.75" customHeight="1">
      <c r="A273" s="95"/>
      <c r="B273" s="108"/>
      <c r="C273" s="97" t="str">
        <f>VLOOKUP(B273,Stock!$A$2:$B$133,2,0)</f>
        <v>#N/A</v>
      </c>
      <c r="D273" s="95"/>
      <c r="E273" s="98"/>
    </row>
    <row r="274" ht="15.75" customHeight="1">
      <c r="A274" s="95"/>
      <c r="B274" s="108"/>
      <c r="C274" s="97" t="str">
        <f>VLOOKUP(B274,Stock!$A$2:$B$133,2,0)</f>
        <v>#N/A</v>
      </c>
      <c r="D274" s="95"/>
      <c r="E274" s="98"/>
    </row>
    <row r="275" ht="15.75" customHeight="1">
      <c r="A275" s="95"/>
      <c r="B275" s="108"/>
      <c r="C275" s="97" t="str">
        <f>VLOOKUP(B275,Stock!$A$2:$B$133,2,0)</f>
        <v>#N/A</v>
      </c>
      <c r="D275" s="95"/>
      <c r="E275" s="98"/>
    </row>
    <row r="276" ht="15.75" customHeight="1">
      <c r="A276" s="95"/>
      <c r="B276" s="108"/>
      <c r="C276" s="97" t="str">
        <f>VLOOKUP(B276,Stock!$A$2:$B$133,2,0)</f>
        <v>#N/A</v>
      </c>
      <c r="D276" s="95"/>
      <c r="E276" s="98"/>
    </row>
    <row r="277" ht="15.75" customHeight="1">
      <c r="A277" s="95"/>
      <c r="B277" s="108"/>
      <c r="C277" s="97" t="str">
        <f>VLOOKUP(B277,Stock!$A$2:$B$133,2,0)</f>
        <v>#N/A</v>
      </c>
      <c r="D277" s="95"/>
      <c r="E277" s="98"/>
    </row>
    <row r="278" ht="15.75" customHeight="1">
      <c r="A278" s="95"/>
      <c r="B278" s="108"/>
      <c r="C278" s="97" t="str">
        <f>VLOOKUP(B278,Stock!$A$2:$B$133,2,0)</f>
        <v>#N/A</v>
      </c>
      <c r="D278" s="95"/>
      <c r="E278" s="98"/>
    </row>
    <row r="279" ht="15.75" customHeight="1">
      <c r="A279" s="95"/>
      <c r="B279" s="108"/>
      <c r="C279" s="97" t="str">
        <f>VLOOKUP(B279,Stock!$A$2:$B$133,2,0)</f>
        <v>#N/A</v>
      </c>
      <c r="D279" s="95"/>
      <c r="E279" s="98"/>
    </row>
    <row r="280" ht="15.75" customHeight="1">
      <c r="A280" s="95"/>
      <c r="B280" s="108"/>
      <c r="C280" s="97" t="str">
        <f>VLOOKUP(B280,Stock!$A$2:$B$133,2,0)</f>
        <v>#N/A</v>
      </c>
      <c r="D280" s="95"/>
      <c r="E280" s="98"/>
    </row>
    <row r="281" ht="15.75" customHeight="1">
      <c r="A281" s="95"/>
      <c r="B281" s="108"/>
      <c r="C281" s="97" t="str">
        <f>VLOOKUP(B281,Stock!$A$2:$B$133,2,0)</f>
        <v>#N/A</v>
      </c>
      <c r="D281" s="95"/>
      <c r="E281" s="98"/>
    </row>
    <row r="282" ht="15.75" customHeight="1">
      <c r="A282" s="95"/>
      <c r="B282" s="108"/>
      <c r="C282" s="97" t="str">
        <f>VLOOKUP(B282,Stock!$A$2:$B$133,2,0)</f>
        <v>#N/A</v>
      </c>
      <c r="D282" s="95"/>
      <c r="E282" s="98"/>
    </row>
    <row r="283" ht="15.75" customHeight="1">
      <c r="A283" s="95"/>
      <c r="B283" s="108"/>
      <c r="C283" s="97" t="str">
        <f>VLOOKUP(B283,Stock!$A$2:$B$133,2,0)</f>
        <v>#N/A</v>
      </c>
      <c r="D283" s="95"/>
      <c r="E283" s="98"/>
    </row>
    <row r="284" ht="15.75" customHeight="1">
      <c r="A284" s="95"/>
      <c r="B284" s="108"/>
      <c r="C284" s="97" t="str">
        <f>VLOOKUP(B284,Stock!$A$2:$B$133,2,0)</f>
        <v>#N/A</v>
      </c>
      <c r="D284" s="95"/>
      <c r="E284" s="98"/>
    </row>
    <row r="285" ht="15.75" customHeight="1">
      <c r="A285" s="95"/>
      <c r="B285" s="108"/>
      <c r="C285" s="97" t="str">
        <f>VLOOKUP(B285,Stock!$A$2:$B$133,2,0)</f>
        <v>#N/A</v>
      </c>
      <c r="D285" s="95"/>
      <c r="E285" s="98"/>
    </row>
    <row r="286" ht="15.75" customHeight="1">
      <c r="A286" s="95"/>
      <c r="B286" s="108"/>
      <c r="C286" s="97" t="str">
        <f>VLOOKUP(B286,Stock!$A$2:$B$133,2,0)</f>
        <v>#N/A</v>
      </c>
      <c r="D286" s="95"/>
      <c r="E286" s="98"/>
    </row>
    <row r="287" ht="15.75" customHeight="1">
      <c r="A287" s="95"/>
      <c r="B287" s="108"/>
      <c r="C287" s="97" t="str">
        <f>VLOOKUP(B287,Stock!$A$2:$B$133,2,0)</f>
        <v>#N/A</v>
      </c>
      <c r="D287" s="95"/>
      <c r="E287" s="98"/>
    </row>
    <row r="288" ht="15.75" customHeight="1">
      <c r="A288" s="95"/>
      <c r="B288" s="108"/>
      <c r="C288" s="97" t="str">
        <f>VLOOKUP(B288,Stock!$A$2:$B$133,2,0)</f>
        <v>#N/A</v>
      </c>
      <c r="D288" s="95"/>
      <c r="E288" s="98"/>
    </row>
    <row r="289" ht="15.75" customHeight="1">
      <c r="A289" s="95"/>
      <c r="B289" s="108"/>
      <c r="C289" s="97" t="str">
        <f>VLOOKUP(B289,Stock!$A$2:$B$133,2,0)</f>
        <v>#N/A</v>
      </c>
      <c r="D289" s="95"/>
      <c r="E289" s="98"/>
    </row>
    <row r="290" ht="15.75" customHeight="1">
      <c r="A290" s="95"/>
      <c r="B290" s="108"/>
      <c r="C290" s="97" t="str">
        <f>VLOOKUP(B290,Stock!$A$2:$B$133,2,0)</f>
        <v>#N/A</v>
      </c>
      <c r="D290" s="95"/>
      <c r="E290" s="98"/>
    </row>
    <row r="291" ht="15.75" customHeight="1">
      <c r="A291" s="95"/>
      <c r="B291" s="108"/>
      <c r="C291" s="97" t="str">
        <f>VLOOKUP(B291,Stock!$A$2:$B$133,2,0)</f>
        <v>#N/A</v>
      </c>
      <c r="D291" s="95"/>
      <c r="E291" s="98"/>
    </row>
    <row r="292" ht="15.75" customHeight="1">
      <c r="A292" s="95"/>
      <c r="B292" s="108"/>
      <c r="C292" s="97" t="str">
        <f>VLOOKUP(B292,Stock!$A$2:$B$133,2,0)</f>
        <v>#N/A</v>
      </c>
      <c r="D292" s="95"/>
      <c r="E292" s="98"/>
    </row>
    <row r="293" ht="15.75" customHeight="1">
      <c r="A293" s="95"/>
      <c r="B293" s="108"/>
      <c r="C293" s="97" t="str">
        <f>VLOOKUP(B293,Stock!$A$2:$B$133,2,0)</f>
        <v>#N/A</v>
      </c>
      <c r="D293" s="95"/>
      <c r="E293" s="98"/>
    </row>
    <row r="294" ht="15.75" customHeight="1">
      <c r="A294" s="95"/>
      <c r="B294" s="108"/>
      <c r="C294" s="97" t="str">
        <f>VLOOKUP(B294,Stock!$A$2:$B$133,2,0)</f>
        <v>#N/A</v>
      </c>
      <c r="D294" s="95"/>
      <c r="E294" s="98"/>
    </row>
    <row r="295" ht="15.75" customHeight="1">
      <c r="A295" s="95"/>
      <c r="B295" s="108"/>
      <c r="C295" s="97" t="str">
        <f>VLOOKUP(B295,Stock!$A$2:$B$133,2,0)</f>
        <v>#N/A</v>
      </c>
      <c r="D295" s="95"/>
      <c r="E295" s="98"/>
    </row>
    <row r="296" ht="15.75" customHeight="1">
      <c r="A296" s="95"/>
      <c r="B296" s="108"/>
      <c r="C296" s="97" t="str">
        <f>VLOOKUP(B296,Stock!$A$2:$B$133,2,0)</f>
        <v>#N/A</v>
      </c>
      <c r="D296" s="95"/>
      <c r="E296" s="98"/>
    </row>
    <row r="297" ht="15.75" customHeight="1">
      <c r="A297" s="95"/>
      <c r="B297" s="108"/>
      <c r="C297" s="97" t="str">
        <f>VLOOKUP(B297,Stock!$A$2:$B$133,2,0)</f>
        <v>#N/A</v>
      </c>
      <c r="D297" s="95"/>
      <c r="E297" s="98"/>
    </row>
    <row r="298" ht="15.75" customHeight="1">
      <c r="A298" s="95"/>
      <c r="B298" s="108"/>
      <c r="C298" s="97" t="str">
        <f>VLOOKUP(B298,Stock!$A$2:$B$133,2,0)</f>
        <v>#N/A</v>
      </c>
      <c r="D298" s="95"/>
      <c r="E298" s="98"/>
    </row>
    <row r="299" ht="15.75" customHeight="1">
      <c r="A299" s="95"/>
      <c r="B299" s="108"/>
      <c r="C299" s="97" t="str">
        <f>VLOOKUP(B299,Stock!$A$2:$B$133,2,0)</f>
        <v>#N/A</v>
      </c>
      <c r="D299" s="95"/>
      <c r="E299" s="98"/>
    </row>
    <row r="300" ht="15.75" customHeight="1">
      <c r="A300" s="95"/>
      <c r="B300" s="108"/>
      <c r="C300" s="97" t="str">
        <f>VLOOKUP(B300,Stock!$A$2:$B$133,2,0)</f>
        <v>#N/A</v>
      </c>
      <c r="D300" s="95"/>
      <c r="E300" s="98"/>
    </row>
    <row r="301" ht="15.75" customHeight="1">
      <c r="A301" s="95"/>
      <c r="B301" s="108"/>
      <c r="C301" s="97" t="str">
        <f>VLOOKUP(B301,Stock!$A$2:$B$133,2,0)</f>
        <v>#N/A</v>
      </c>
      <c r="D301" s="95"/>
      <c r="E301" s="98"/>
    </row>
    <row r="302" ht="15.75" customHeight="1">
      <c r="A302" s="95"/>
      <c r="B302" s="108"/>
      <c r="C302" s="97" t="str">
        <f>VLOOKUP(B302,Stock!$A$2:$B$133,2,0)</f>
        <v>#N/A</v>
      </c>
      <c r="D302" s="95"/>
      <c r="E302" s="98"/>
    </row>
    <row r="303" ht="15.75" customHeight="1">
      <c r="A303" s="95"/>
      <c r="B303" s="108"/>
      <c r="C303" s="97" t="str">
        <f>VLOOKUP(B303,Stock!$A$2:$B$133,2,0)</f>
        <v>#N/A</v>
      </c>
      <c r="D303" s="95"/>
      <c r="E303" s="98"/>
    </row>
    <row r="304" ht="15.75" customHeight="1">
      <c r="A304" s="95"/>
      <c r="B304" s="108"/>
      <c r="C304" s="97" t="str">
        <f>VLOOKUP(B304,Stock!$A$2:$B$133,2,0)</f>
        <v>#N/A</v>
      </c>
      <c r="D304" s="95"/>
      <c r="E304" s="98"/>
    </row>
    <row r="305" ht="15.75" customHeight="1">
      <c r="A305" s="95"/>
      <c r="B305" s="108"/>
      <c r="C305" s="97" t="str">
        <f>VLOOKUP(B305,Stock!$A$2:$B$133,2,0)</f>
        <v>#N/A</v>
      </c>
      <c r="D305" s="95"/>
      <c r="E305" s="98"/>
    </row>
    <row r="306" ht="15.75" customHeight="1">
      <c r="A306" s="95"/>
      <c r="B306" s="108"/>
      <c r="C306" s="97" t="str">
        <f>VLOOKUP(B306,Stock!$A$2:$B$133,2,0)</f>
        <v>#N/A</v>
      </c>
      <c r="D306" s="95"/>
      <c r="E306" s="98"/>
    </row>
    <row r="307" ht="15.75" customHeight="1">
      <c r="A307" s="95"/>
      <c r="B307" s="108"/>
      <c r="C307" s="97" t="str">
        <f>VLOOKUP(B307,Stock!$A$2:$B$133,2,0)</f>
        <v>#N/A</v>
      </c>
      <c r="D307" s="95"/>
      <c r="E307" s="98"/>
    </row>
    <row r="308" ht="15.75" customHeight="1">
      <c r="A308" s="95"/>
      <c r="B308" s="108"/>
      <c r="C308" s="97" t="str">
        <f>VLOOKUP(B308,Stock!$A$2:$B$133,2,0)</f>
        <v>#N/A</v>
      </c>
      <c r="D308" s="95"/>
      <c r="E308" s="98"/>
    </row>
    <row r="309" ht="15.75" customHeight="1">
      <c r="A309" s="95"/>
      <c r="B309" s="108"/>
      <c r="C309" s="97" t="str">
        <f>VLOOKUP(B309,Stock!$A$2:$B$133,2,0)</f>
        <v>#N/A</v>
      </c>
      <c r="D309" s="95"/>
      <c r="E309" s="98"/>
    </row>
    <row r="310" ht="15.75" customHeight="1">
      <c r="A310" s="95"/>
      <c r="B310" s="108"/>
      <c r="C310" s="97" t="str">
        <f>VLOOKUP(B310,Stock!$A$2:$B$133,2,0)</f>
        <v>#N/A</v>
      </c>
      <c r="D310" s="95"/>
      <c r="E310" s="98"/>
    </row>
    <row r="311" ht="15.75" customHeight="1">
      <c r="A311" s="95"/>
      <c r="B311" s="108"/>
      <c r="C311" s="97" t="str">
        <f>VLOOKUP(B311,Stock!$A$2:$B$133,2,0)</f>
        <v>#N/A</v>
      </c>
      <c r="D311" s="95"/>
      <c r="E311" s="98"/>
    </row>
    <row r="312" ht="15.75" customHeight="1">
      <c r="A312" s="95"/>
      <c r="B312" s="108"/>
      <c r="C312" s="97" t="str">
        <f>VLOOKUP(B312,Stock!$A$2:$B$133,2,0)</f>
        <v>#N/A</v>
      </c>
      <c r="D312" s="95"/>
      <c r="E312" s="98"/>
    </row>
    <row r="313" ht="15.75" customHeight="1">
      <c r="A313" s="95"/>
      <c r="B313" s="108"/>
      <c r="C313" s="97" t="str">
        <f>VLOOKUP(B313,Stock!$A$2:$B$133,2,0)</f>
        <v>#N/A</v>
      </c>
      <c r="D313" s="95"/>
      <c r="E313" s="98"/>
    </row>
    <row r="314" ht="15.75" customHeight="1">
      <c r="A314" s="95"/>
      <c r="B314" s="108"/>
      <c r="C314" s="97" t="str">
        <f>VLOOKUP(B314,Stock!$A$2:$B$133,2,0)</f>
        <v>#N/A</v>
      </c>
      <c r="D314" s="95"/>
      <c r="E314" s="98"/>
    </row>
    <row r="315" ht="15.75" customHeight="1">
      <c r="A315" s="95"/>
      <c r="B315" s="108"/>
      <c r="C315" s="97" t="str">
        <f>VLOOKUP(B315,Stock!$A$2:$B$133,2,0)</f>
        <v>#N/A</v>
      </c>
      <c r="D315" s="95"/>
      <c r="E315" s="98"/>
    </row>
    <row r="316" ht="15.75" customHeight="1">
      <c r="A316" s="95"/>
      <c r="B316" s="108"/>
      <c r="C316" s="97" t="str">
        <f>VLOOKUP(B316,Stock!$A$2:$B$133,2,0)</f>
        <v>#N/A</v>
      </c>
      <c r="D316" s="95"/>
      <c r="E316" s="98"/>
    </row>
    <row r="317" ht="15.75" customHeight="1">
      <c r="A317" s="95"/>
      <c r="B317" s="108"/>
      <c r="C317" s="97" t="str">
        <f>VLOOKUP(B317,Stock!$A$2:$B$133,2,0)</f>
        <v>#N/A</v>
      </c>
      <c r="D317" s="95"/>
      <c r="E317" s="98"/>
    </row>
    <row r="318" ht="15.75" customHeight="1">
      <c r="A318" s="95"/>
      <c r="B318" s="108"/>
      <c r="C318" s="97" t="str">
        <f>VLOOKUP(B318,Stock!$A$2:$B$133,2,0)</f>
        <v>#N/A</v>
      </c>
      <c r="D318" s="95"/>
      <c r="E318" s="98"/>
    </row>
    <row r="319" ht="15.75" customHeight="1">
      <c r="A319" s="95"/>
      <c r="B319" s="108"/>
      <c r="C319" s="97" t="str">
        <f>VLOOKUP(B319,Stock!$A$2:$B$133,2,0)</f>
        <v>#N/A</v>
      </c>
      <c r="D319" s="95"/>
      <c r="E319" s="98"/>
    </row>
    <row r="320" ht="15.75" customHeight="1">
      <c r="A320" s="95"/>
      <c r="B320" s="108"/>
      <c r="C320" s="97" t="str">
        <f>VLOOKUP(B320,Stock!$A$2:$B$133,2,0)</f>
        <v>#N/A</v>
      </c>
      <c r="D320" s="95"/>
      <c r="E320" s="98"/>
    </row>
    <row r="321" ht="15.75" customHeight="1">
      <c r="A321" s="95"/>
      <c r="B321" s="108"/>
      <c r="C321" s="97" t="str">
        <f>VLOOKUP(B321,Stock!$A$2:$B$133,2,0)</f>
        <v>#N/A</v>
      </c>
      <c r="D321" s="95"/>
      <c r="E321" s="98"/>
    </row>
    <row r="322" ht="15.75" customHeight="1">
      <c r="A322" s="95"/>
      <c r="B322" s="108"/>
      <c r="C322" s="97" t="str">
        <f>VLOOKUP(B322,Stock!$A$2:$B$133,2,0)</f>
        <v>#N/A</v>
      </c>
      <c r="D322" s="95"/>
      <c r="E322" s="98"/>
    </row>
    <row r="323" ht="15.75" customHeight="1">
      <c r="A323" s="95"/>
      <c r="B323" s="108"/>
      <c r="C323" s="97" t="str">
        <f>VLOOKUP(B323,Stock!$A$2:$B$133,2,0)</f>
        <v>#N/A</v>
      </c>
      <c r="D323" s="95"/>
      <c r="E323" s="98"/>
    </row>
    <row r="324" ht="15.75" customHeight="1">
      <c r="A324" s="95"/>
      <c r="B324" s="108"/>
      <c r="C324" s="97" t="str">
        <f>VLOOKUP(B324,Stock!$A$2:$B$133,2,0)</f>
        <v>#N/A</v>
      </c>
      <c r="D324" s="95"/>
      <c r="E324" s="98"/>
    </row>
    <row r="325" ht="15.75" customHeight="1">
      <c r="A325" s="95"/>
      <c r="B325" s="108"/>
      <c r="C325" s="97" t="str">
        <f>VLOOKUP(B325,Stock!$A$2:$B$133,2,0)</f>
        <v>#N/A</v>
      </c>
      <c r="D325" s="95"/>
      <c r="E325" s="98"/>
    </row>
    <row r="326" ht="15.75" customHeight="1">
      <c r="A326" s="95"/>
      <c r="B326" s="108"/>
      <c r="C326" s="97" t="str">
        <f>VLOOKUP(B326,Stock!$A$2:$B$133,2,0)</f>
        <v>#N/A</v>
      </c>
      <c r="D326" s="95"/>
      <c r="E326" s="98"/>
    </row>
    <row r="327" ht="15.75" customHeight="1">
      <c r="A327" s="95"/>
      <c r="B327" s="108"/>
      <c r="C327" s="97" t="str">
        <f>VLOOKUP(B327,Stock!$A$2:$B$133,2,0)</f>
        <v>#N/A</v>
      </c>
      <c r="D327" s="95"/>
      <c r="E327" s="98"/>
    </row>
    <row r="328" ht="15.75" customHeight="1">
      <c r="A328" s="95"/>
      <c r="B328" s="108"/>
      <c r="C328" s="97" t="str">
        <f>VLOOKUP(B328,Stock!$A$2:$B$133,2,0)</f>
        <v>#N/A</v>
      </c>
      <c r="D328" s="95"/>
      <c r="E328" s="98"/>
    </row>
    <row r="329" ht="15.75" customHeight="1">
      <c r="A329" s="95"/>
      <c r="B329" s="108"/>
      <c r="C329" s="97" t="str">
        <f>VLOOKUP(B329,Stock!$A$2:$B$133,2,0)</f>
        <v>#N/A</v>
      </c>
      <c r="D329" s="95"/>
      <c r="E329" s="98"/>
    </row>
    <row r="330" ht="15.75" customHeight="1">
      <c r="A330" s="95"/>
      <c r="B330" s="108"/>
      <c r="C330" s="97" t="str">
        <f>VLOOKUP(B330,Stock!$A$2:$B$133,2,0)</f>
        <v>#N/A</v>
      </c>
      <c r="D330" s="95"/>
      <c r="E330" s="98"/>
    </row>
    <row r="331" ht="15.75" customHeight="1">
      <c r="A331" s="95"/>
      <c r="B331" s="108"/>
      <c r="C331" s="97" t="str">
        <f>VLOOKUP(B331,Stock!$A$2:$B$133,2,0)</f>
        <v>#N/A</v>
      </c>
      <c r="D331" s="95"/>
      <c r="E331" s="98"/>
    </row>
    <row r="332" ht="15.75" customHeight="1">
      <c r="A332" s="95"/>
      <c r="B332" s="108"/>
      <c r="C332" s="97" t="str">
        <f>VLOOKUP(B332,Stock!$A$2:$B$133,2,0)</f>
        <v>#N/A</v>
      </c>
      <c r="D332" s="95"/>
      <c r="E332" s="98"/>
    </row>
    <row r="333" ht="15.75" customHeight="1">
      <c r="A333" s="95"/>
      <c r="B333" s="108"/>
      <c r="C333" s="97" t="str">
        <f>VLOOKUP(B333,Stock!$A$2:$B$133,2,0)</f>
        <v>#N/A</v>
      </c>
      <c r="D333" s="95"/>
      <c r="E333" s="98"/>
    </row>
    <row r="334" ht="15.75" customHeight="1">
      <c r="A334" s="95"/>
      <c r="B334" s="108"/>
      <c r="C334" s="97" t="str">
        <f>VLOOKUP(B334,Stock!$A$2:$B$133,2,0)</f>
        <v>#N/A</v>
      </c>
      <c r="D334" s="95"/>
      <c r="E334" s="98"/>
    </row>
    <row r="335" ht="15.75" customHeight="1">
      <c r="A335" s="95"/>
      <c r="B335" s="108"/>
      <c r="C335" s="97" t="str">
        <f>VLOOKUP(B335,Stock!$A$2:$B$133,2,0)</f>
        <v>#N/A</v>
      </c>
      <c r="D335" s="95"/>
      <c r="E335" s="98"/>
    </row>
    <row r="336" ht="15.75" customHeight="1">
      <c r="A336" s="95"/>
      <c r="B336" s="108"/>
      <c r="C336" s="97" t="str">
        <f>VLOOKUP(B336,Stock!$A$2:$B$133,2,0)</f>
        <v>#N/A</v>
      </c>
      <c r="D336" s="95"/>
      <c r="E336" s="98"/>
    </row>
    <row r="337" ht="15.75" customHeight="1">
      <c r="A337" s="95"/>
      <c r="B337" s="108"/>
      <c r="C337" s="97" t="str">
        <f>VLOOKUP(B337,Stock!$A$2:$B$133,2,0)</f>
        <v>#N/A</v>
      </c>
      <c r="D337" s="95"/>
      <c r="E337" s="98"/>
    </row>
    <row r="338" ht="15.75" customHeight="1">
      <c r="A338" s="95"/>
      <c r="B338" s="108"/>
      <c r="C338" s="97" t="str">
        <f>VLOOKUP(B338,Stock!$A$2:$B$133,2,0)</f>
        <v>#N/A</v>
      </c>
      <c r="D338" s="95"/>
      <c r="E338" s="98"/>
    </row>
    <row r="339" ht="15.75" customHeight="1">
      <c r="A339" s="95"/>
      <c r="B339" s="108"/>
      <c r="C339" s="97" t="str">
        <f>VLOOKUP(B339,Stock!$A$2:$B$133,2,0)</f>
        <v>#N/A</v>
      </c>
      <c r="D339" s="95"/>
      <c r="E339" s="98"/>
    </row>
    <row r="340" ht="15.75" customHeight="1">
      <c r="A340" s="95"/>
      <c r="B340" s="108"/>
      <c r="C340" s="97" t="str">
        <f>VLOOKUP(B340,Stock!$A$2:$B$133,2,0)</f>
        <v>#N/A</v>
      </c>
      <c r="D340" s="95"/>
      <c r="E340" s="98"/>
    </row>
    <row r="341" ht="15.75" customHeight="1">
      <c r="A341" s="95"/>
      <c r="B341" s="108"/>
      <c r="C341" s="97" t="str">
        <f>VLOOKUP(B341,Stock!$A$2:$B$133,2,0)</f>
        <v>#N/A</v>
      </c>
      <c r="D341" s="95"/>
      <c r="E341" s="98"/>
    </row>
    <row r="342" ht="15.75" customHeight="1">
      <c r="A342" s="95"/>
      <c r="B342" s="108"/>
      <c r="C342" s="97" t="str">
        <f>VLOOKUP(B342,Stock!$A$2:$B$133,2,0)</f>
        <v>#N/A</v>
      </c>
      <c r="D342" s="95"/>
      <c r="E342" s="98"/>
    </row>
    <row r="343" ht="15.75" customHeight="1">
      <c r="A343" s="95"/>
      <c r="B343" s="108"/>
      <c r="C343" s="97" t="str">
        <f>VLOOKUP(B343,Stock!$A$2:$B$133,2,0)</f>
        <v>#N/A</v>
      </c>
      <c r="D343" s="95"/>
      <c r="E343" s="98"/>
    </row>
    <row r="344" ht="15.75" customHeight="1">
      <c r="A344" s="95"/>
      <c r="B344" s="108"/>
      <c r="C344" s="97" t="str">
        <f>VLOOKUP(B344,Stock!$A$2:$B$133,2,0)</f>
        <v>#N/A</v>
      </c>
      <c r="D344" s="95"/>
      <c r="E344" s="98"/>
    </row>
    <row r="345" ht="15.75" customHeight="1">
      <c r="A345" s="95"/>
      <c r="B345" s="108"/>
      <c r="C345" s="97" t="str">
        <f>VLOOKUP(B345,Stock!$A$2:$B$133,2,0)</f>
        <v>#N/A</v>
      </c>
      <c r="D345" s="95"/>
      <c r="E345" s="98"/>
    </row>
    <row r="346" ht="15.75" customHeight="1">
      <c r="A346" s="95"/>
      <c r="B346" s="108"/>
      <c r="C346" s="97" t="str">
        <f>VLOOKUP(B346,Stock!$A$2:$B$133,2,0)</f>
        <v>#N/A</v>
      </c>
      <c r="D346" s="95"/>
      <c r="E346" s="98"/>
    </row>
    <row r="347" ht="15.75" customHeight="1">
      <c r="A347" s="95"/>
      <c r="B347" s="108"/>
      <c r="C347" s="97" t="str">
        <f>VLOOKUP(B347,Stock!$A$2:$B$133,2,0)</f>
        <v>#N/A</v>
      </c>
      <c r="D347" s="95"/>
      <c r="E347" s="98"/>
    </row>
    <row r="348" ht="15.75" customHeight="1">
      <c r="A348" s="95"/>
      <c r="B348" s="108"/>
      <c r="C348" s="97" t="str">
        <f>VLOOKUP(B348,Stock!$A$2:$B$133,2,0)</f>
        <v>#N/A</v>
      </c>
      <c r="D348" s="95"/>
      <c r="E348" s="98"/>
    </row>
    <row r="349" ht="15.75" customHeight="1">
      <c r="A349" s="95"/>
      <c r="B349" s="108"/>
      <c r="C349" s="97" t="str">
        <f>VLOOKUP(B349,Stock!$A$2:$B$133,2,0)</f>
        <v>#N/A</v>
      </c>
      <c r="D349" s="95"/>
      <c r="E349" s="98"/>
    </row>
    <row r="350" ht="15.75" customHeight="1">
      <c r="A350" s="95"/>
      <c r="B350" s="108"/>
      <c r="C350" s="97" t="str">
        <f>VLOOKUP(B350,Stock!$A$2:$B$133,2,0)</f>
        <v>#N/A</v>
      </c>
      <c r="D350" s="95"/>
      <c r="E350" s="98"/>
    </row>
    <row r="351" ht="15.75" customHeight="1">
      <c r="A351" s="95"/>
      <c r="B351" s="108"/>
      <c r="C351" s="97" t="str">
        <f>VLOOKUP(B351,Stock!$A$2:$B$133,2,0)</f>
        <v>#N/A</v>
      </c>
      <c r="D351" s="95"/>
      <c r="E351" s="98"/>
    </row>
    <row r="352" ht="15.75" customHeight="1">
      <c r="A352" s="95"/>
      <c r="B352" s="108"/>
      <c r="C352" s="97" t="str">
        <f>VLOOKUP(B352,Stock!$A$2:$B$133,2,0)</f>
        <v>#N/A</v>
      </c>
      <c r="D352" s="95"/>
      <c r="E352" s="98"/>
    </row>
    <row r="353" ht="15.75" customHeight="1">
      <c r="A353" s="95"/>
      <c r="B353" s="108"/>
      <c r="C353" s="97" t="str">
        <f>VLOOKUP(B353,Stock!$A$2:$B$133,2,0)</f>
        <v>#N/A</v>
      </c>
      <c r="D353" s="95"/>
      <c r="E353" s="98"/>
    </row>
    <row r="354" ht="15.75" customHeight="1">
      <c r="A354" s="95"/>
      <c r="B354" s="108"/>
      <c r="C354" s="97" t="str">
        <f>VLOOKUP(B354,Stock!$A$2:$B$133,2,0)</f>
        <v>#N/A</v>
      </c>
      <c r="D354" s="95"/>
      <c r="E354" s="98"/>
    </row>
    <row r="355" ht="15.75" customHeight="1">
      <c r="A355" s="95"/>
      <c r="B355" s="108"/>
      <c r="C355" s="97" t="str">
        <f>VLOOKUP(B355,Stock!$A$2:$B$133,2,0)</f>
        <v>#N/A</v>
      </c>
      <c r="D355" s="95"/>
      <c r="E355" s="98"/>
    </row>
    <row r="356" ht="15.75" customHeight="1">
      <c r="A356" s="95"/>
      <c r="B356" s="108"/>
      <c r="C356" s="97" t="str">
        <f>VLOOKUP(B356,Stock!$A$2:$B$133,2,0)</f>
        <v>#N/A</v>
      </c>
      <c r="D356" s="95"/>
      <c r="E356" s="98"/>
    </row>
    <row r="357" ht="15.75" customHeight="1">
      <c r="A357" s="95"/>
      <c r="B357" s="108"/>
      <c r="C357" s="97" t="str">
        <f>VLOOKUP(B357,Stock!$A$2:$B$133,2,0)</f>
        <v>#N/A</v>
      </c>
      <c r="D357" s="95"/>
      <c r="E357" s="98"/>
    </row>
    <row r="358" ht="15.75" customHeight="1">
      <c r="A358" s="95"/>
      <c r="B358" s="108"/>
      <c r="C358" s="97" t="str">
        <f>VLOOKUP(B358,Stock!$A$2:$B$133,2,0)</f>
        <v>#N/A</v>
      </c>
      <c r="D358" s="95"/>
      <c r="E358" s="98"/>
    </row>
    <row r="359" ht="15.75" customHeight="1">
      <c r="A359" s="95"/>
      <c r="B359" s="108"/>
      <c r="C359" s="97" t="str">
        <f>VLOOKUP(B359,Stock!$A$2:$B$133,2,0)</f>
        <v>#N/A</v>
      </c>
      <c r="D359" s="95"/>
      <c r="E359" s="98"/>
    </row>
    <row r="360" ht="15.75" customHeight="1">
      <c r="A360" s="95"/>
      <c r="B360" s="108"/>
      <c r="C360" s="97" t="str">
        <f>VLOOKUP(B360,Stock!$A$2:$B$133,2,0)</f>
        <v>#N/A</v>
      </c>
      <c r="D360" s="95"/>
      <c r="E360" s="98"/>
    </row>
    <row r="361" ht="15.75" customHeight="1">
      <c r="A361" s="95"/>
      <c r="B361" s="108"/>
      <c r="C361" s="97" t="str">
        <f>VLOOKUP(B361,Stock!$A$2:$B$133,2,0)</f>
        <v>#N/A</v>
      </c>
      <c r="D361" s="95"/>
      <c r="E361" s="98"/>
    </row>
    <row r="362" ht="15.75" customHeight="1">
      <c r="A362" s="95"/>
      <c r="B362" s="108"/>
      <c r="C362" s="97" t="str">
        <f>VLOOKUP(B362,Stock!$A$2:$B$133,2,0)</f>
        <v>#N/A</v>
      </c>
      <c r="D362" s="95"/>
      <c r="E362" s="98"/>
    </row>
    <row r="363" ht="15.75" customHeight="1">
      <c r="A363" s="95"/>
      <c r="B363" s="108"/>
      <c r="C363" s="97" t="str">
        <f>VLOOKUP(B363,Stock!$A$2:$B$133,2,0)</f>
        <v>#N/A</v>
      </c>
      <c r="D363" s="95"/>
      <c r="E363" s="98"/>
    </row>
    <row r="364" ht="15.75" customHeight="1">
      <c r="A364" s="95"/>
      <c r="B364" s="108"/>
      <c r="C364" s="97" t="str">
        <f>VLOOKUP(B364,Stock!$A$2:$B$133,2,0)</f>
        <v>#N/A</v>
      </c>
      <c r="D364" s="95"/>
      <c r="E364" s="98"/>
    </row>
    <row r="365" ht="15.75" customHeight="1">
      <c r="A365" s="95"/>
      <c r="B365" s="108"/>
      <c r="C365" s="97" t="str">
        <f>VLOOKUP(B365,Stock!$A$2:$B$133,2,0)</f>
        <v>#N/A</v>
      </c>
      <c r="D365" s="95"/>
      <c r="E365" s="98"/>
    </row>
    <row r="366" ht="15.75" customHeight="1">
      <c r="A366" s="95"/>
      <c r="B366" s="108"/>
      <c r="C366" s="97" t="str">
        <f>VLOOKUP(B366,Stock!$A$2:$B$133,2,0)</f>
        <v>#N/A</v>
      </c>
      <c r="D366" s="95"/>
      <c r="E366" s="98"/>
    </row>
    <row r="367" ht="15.75" customHeight="1">
      <c r="A367" s="95"/>
      <c r="B367" s="108"/>
      <c r="C367" s="97" t="str">
        <f>VLOOKUP(B367,Stock!$A$2:$B$133,2,0)</f>
        <v>#N/A</v>
      </c>
      <c r="D367" s="95"/>
      <c r="E367" s="98"/>
    </row>
    <row r="368" ht="15.75" customHeight="1">
      <c r="A368" s="95"/>
      <c r="B368" s="108"/>
      <c r="C368" s="97" t="str">
        <f>VLOOKUP(B368,Stock!$A$2:$B$133,2,0)</f>
        <v>#N/A</v>
      </c>
      <c r="D368" s="95"/>
      <c r="E368" s="98"/>
    </row>
    <row r="369" ht="15.75" customHeight="1">
      <c r="A369" s="95"/>
      <c r="B369" s="108"/>
      <c r="C369" s="97" t="str">
        <f>VLOOKUP(B369,Stock!$A$2:$B$133,2,0)</f>
        <v>#N/A</v>
      </c>
      <c r="D369" s="95"/>
      <c r="E369" s="98"/>
    </row>
    <row r="370" ht="15.75" customHeight="1">
      <c r="A370" s="95"/>
      <c r="B370" s="108"/>
      <c r="C370" s="97" t="str">
        <f>VLOOKUP(B370,Stock!$A$2:$B$133,2,0)</f>
        <v>#N/A</v>
      </c>
      <c r="D370" s="95"/>
      <c r="E370" s="98"/>
    </row>
    <row r="371" ht="15.75" customHeight="1">
      <c r="A371" s="95"/>
      <c r="B371" s="108"/>
      <c r="C371" s="97" t="str">
        <f>VLOOKUP(B371,Stock!$A$2:$B$133,2,0)</f>
        <v>#N/A</v>
      </c>
      <c r="D371" s="95"/>
      <c r="E371" s="98"/>
    </row>
    <row r="372" ht="15.75" customHeight="1">
      <c r="A372" s="95"/>
      <c r="B372" s="108"/>
      <c r="C372" s="97" t="str">
        <f>VLOOKUP(B372,Stock!$A$2:$B$133,2,0)</f>
        <v>#N/A</v>
      </c>
      <c r="D372" s="95"/>
      <c r="E372" s="98"/>
    </row>
    <row r="373" ht="15.75" customHeight="1">
      <c r="A373" s="95"/>
      <c r="B373" s="108"/>
      <c r="C373" s="97" t="str">
        <f>VLOOKUP(B373,Stock!$A$2:$B$133,2,0)</f>
        <v>#N/A</v>
      </c>
      <c r="D373" s="95"/>
      <c r="E373" s="98"/>
    </row>
    <row r="374" ht="15.75" customHeight="1">
      <c r="A374" s="95"/>
      <c r="B374" s="108"/>
      <c r="C374" s="97" t="str">
        <f>VLOOKUP(B374,Stock!$A$2:$B$133,2,0)</f>
        <v>#N/A</v>
      </c>
      <c r="D374" s="95"/>
      <c r="E374" s="98"/>
    </row>
    <row r="375" ht="15.75" customHeight="1">
      <c r="A375" s="95"/>
      <c r="B375" s="108"/>
      <c r="C375" s="97" t="str">
        <f>VLOOKUP(B375,Stock!$A$2:$B$133,2,0)</f>
        <v>#N/A</v>
      </c>
      <c r="D375" s="95"/>
      <c r="E375" s="98"/>
    </row>
    <row r="376" ht="15.75" customHeight="1">
      <c r="A376" s="95"/>
      <c r="B376" s="108"/>
      <c r="C376" s="97" t="str">
        <f>VLOOKUP(B376,Stock!$A$2:$B$133,2,0)</f>
        <v>#N/A</v>
      </c>
      <c r="D376" s="95"/>
      <c r="E376" s="98"/>
    </row>
    <row r="377" ht="15.75" customHeight="1">
      <c r="A377" s="95"/>
      <c r="B377" s="108"/>
      <c r="C377" s="97" t="str">
        <f>VLOOKUP(B377,Stock!$A$2:$B$133,2,0)</f>
        <v>#N/A</v>
      </c>
      <c r="D377" s="95"/>
      <c r="E377" s="98"/>
    </row>
    <row r="378" ht="15.75" customHeight="1">
      <c r="A378" s="95"/>
      <c r="B378" s="108"/>
      <c r="C378" s="97" t="str">
        <f>VLOOKUP(B378,Stock!$A$2:$B$133,2,0)</f>
        <v>#N/A</v>
      </c>
      <c r="D378" s="95"/>
      <c r="E378" s="98"/>
    </row>
    <row r="379" ht="15.75" customHeight="1">
      <c r="A379" s="95"/>
      <c r="B379" s="108"/>
      <c r="C379" s="97" t="str">
        <f>VLOOKUP(B379,Stock!$A$2:$B$133,2,0)</f>
        <v>#N/A</v>
      </c>
      <c r="D379" s="95"/>
      <c r="E379" s="98"/>
    </row>
    <row r="380" ht="15.75" customHeight="1">
      <c r="A380" s="95"/>
      <c r="B380" s="108"/>
      <c r="C380" s="97" t="str">
        <f>VLOOKUP(B380,Stock!$A$2:$B$133,2,0)</f>
        <v>#N/A</v>
      </c>
      <c r="D380" s="95"/>
      <c r="E380" s="98"/>
    </row>
    <row r="381" ht="15.75" customHeight="1">
      <c r="A381" s="95"/>
      <c r="B381" s="108"/>
      <c r="C381" s="97" t="str">
        <f>VLOOKUP(B381,Stock!$A$2:$B$133,2,0)</f>
        <v>#N/A</v>
      </c>
      <c r="D381" s="95"/>
      <c r="E381" s="98"/>
    </row>
    <row r="382" ht="15.75" customHeight="1">
      <c r="A382" s="95"/>
      <c r="B382" s="108"/>
      <c r="C382" s="97" t="str">
        <f>VLOOKUP(B382,Stock!$A$2:$B$133,2,0)</f>
        <v>#N/A</v>
      </c>
      <c r="D382" s="95"/>
      <c r="E382" s="98"/>
    </row>
    <row r="383" ht="15.75" customHeight="1">
      <c r="A383" s="95"/>
      <c r="B383" s="108"/>
      <c r="C383" s="97" t="str">
        <f>VLOOKUP(B383,Stock!$A$2:$B$133,2,0)</f>
        <v>#N/A</v>
      </c>
      <c r="D383" s="95"/>
      <c r="E383" s="98"/>
    </row>
    <row r="384" ht="15.75" customHeight="1">
      <c r="A384" s="95"/>
      <c r="B384" s="108"/>
      <c r="C384" s="97" t="str">
        <f>VLOOKUP(B384,Stock!$A$2:$B$133,2,0)</f>
        <v>#N/A</v>
      </c>
      <c r="D384" s="95"/>
      <c r="E384" s="98"/>
    </row>
    <row r="385" ht="15.75" customHeight="1">
      <c r="A385" s="95"/>
      <c r="B385" s="108"/>
      <c r="C385" s="97" t="str">
        <f>VLOOKUP(B385,Stock!$A$2:$B$133,2,0)</f>
        <v>#N/A</v>
      </c>
      <c r="D385" s="95"/>
      <c r="E385" s="98"/>
    </row>
    <row r="386" ht="15.75" customHeight="1">
      <c r="A386" s="95"/>
      <c r="B386" s="108"/>
      <c r="C386" s="97" t="str">
        <f>VLOOKUP(B386,Stock!$A$2:$B$133,2,0)</f>
        <v>#N/A</v>
      </c>
      <c r="D386" s="95"/>
      <c r="E386" s="98"/>
    </row>
    <row r="387" ht="15.75" customHeight="1">
      <c r="A387" s="95"/>
      <c r="B387" s="108"/>
      <c r="C387" s="97" t="str">
        <f>VLOOKUP(B387,Stock!$A$2:$B$133,2,0)</f>
        <v>#N/A</v>
      </c>
      <c r="D387" s="95"/>
      <c r="E387" s="98"/>
    </row>
    <row r="388" ht="15.75" customHeight="1">
      <c r="A388" s="95"/>
      <c r="B388" s="108"/>
      <c r="C388" s="97" t="str">
        <f>VLOOKUP(B388,Stock!$A$2:$B$133,2,0)</f>
        <v>#N/A</v>
      </c>
      <c r="D388" s="95"/>
      <c r="E388" s="98"/>
    </row>
    <row r="389" ht="15.75" customHeight="1">
      <c r="A389" s="95"/>
      <c r="B389" s="108"/>
      <c r="C389" s="97" t="str">
        <f>VLOOKUP(B389,Stock!$A$2:$B$133,2,0)</f>
        <v>#N/A</v>
      </c>
      <c r="D389" s="95"/>
      <c r="E389" s="98"/>
    </row>
    <row r="390" ht="15.75" customHeight="1">
      <c r="A390" s="95"/>
      <c r="B390" s="108"/>
      <c r="C390" s="97" t="str">
        <f>VLOOKUP(B390,Stock!$A$2:$B$133,2,0)</f>
        <v>#N/A</v>
      </c>
      <c r="D390" s="95"/>
      <c r="E390" s="98"/>
    </row>
    <row r="391" ht="15.75" customHeight="1">
      <c r="A391" s="95"/>
      <c r="B391" s="108"/>
      <c r="C391" s="97" t="str">
        <f>VLOOKUP(B391,Stock!$A$2:$B$133,2,0)</f>
        <v>#N/A</v>
      </c>
      <c r="D391" s="95"/>
      <c r="E391" s="98"/>
    </row>
    <row r="392" ht="15.75" customHeight="1">
      <c r="A392" s="95"/>
      <c r="B392" s="108"/>
      <c r="C392" s="97" t="str">
        <f>VLOOKUP(B392,Stock!$A$2:$B$133,2,0)</f>
        <v>#N/A</v>
      </c>
      <c r="D392" s="95"/>
      <c r="E392" s="98"/>
    </row>
    <row r="393" ht="15.75" customHeight="1">
      <c r="A393" s="95"/>
      <c r="B393" s="108"/>
      <c r="C393" s="97" t="str">
        <f>VLOOKUP(B393,Stock!$A$2:$B$133,2,0)</f>
        <v>#N/A</v>
      </c>
      <c r="D393" s="95"/>
      <c r="E393" s="98"/>
    </row>
    <row r="394" ht="15.75" customHeight="1">
      <c r="A394" s="95"/>
      <c r="B394" s="108"/>
      <c r="C394" s="97" t="str">
        <f>VLOOKUP(B394,Stock!$A$2:$B$133,2,0)</f>
        <v>#N/A</v>
      </c>
      <c r="D394" s="95"/>
      <c r="E394" s="98"/>
    </row>
    <row r="395" ht="15.75" customHeight="1">
      <c r="A395" s="95"/>
      <c r="B395" s="108"/>
      <c r="C395" s="97" t="str">
        <f>VLOOKUP(B395,Stock!$A$2:$B$133,2,0)</f>
        <v>#N/A</v>
      </c>
      <c r="D395" s="95"/>
      <c r="E395" s="98"/>
    </row>
    <row r="396" ht="15.75" customHeight="1">
      <c r="A396" s="95"/>
      <c r="B396" s="108"/>
      <c r="C396" s="97" t="str">
        <f>VLOOKUP(B396,Stock!$A$2:$B$133,2,0)</f>
        <v>#N/A</v>
      </c>
      <c r="D396" s="95"/>
      <c r="E396" s="98"/>
    </row>
    <row r="397" ht="15.75" customHeight="1">
      <c r="A397" s="95"/>
      <c r="B397" s="108"/>
      <c r="C397" s="97" t="str">
        <f>VLOOKUP(B397,Stock!$A$2:$B$133,2,0)</f>
        <v>#N/A</v>
      </c>
      <c r="D397" s="95"/>
      <c r="E397" s="98"/>
    </row>
    <row r="398" ht="15.75" customHeight="1">
      <c r="A398" s="95"/>
      <c r="B398" s="108"/>
      <c r="C398" s="97" t="str">
        <f>VLOOKUP(B398,Stock!$A$2:$B$133,2,0)</f>
        <v>#N/A</v>
      </c>
      <c r="D398" s="95"/>
      <c r="E398" s="98"/>
    </row>
    <row r="399" ht="15.75" customHeight="1">
      <c r="A399" s="95"/>
      <c r="B399" s="108"/>
      <c r="C399" s="97" t="str">
        <f>VLOOKUP(B399,Stock!$A$2:$B$133,2,0)</f>
        <v>#N/A</v>
      </c>
      <c r="D399" s="95"/>
      <c r="E399" s="98"/>
    </row>
    <row r="400" ht="15.75" customHeight="1">
      <c r="A400" s="95"/>
      <c r="B400" s="108"/>
      <c r="C400" s="97" t="str">
        <f>VLOOKUP(B400,Stock!$A$2:$B$133,2,0)</f>
        <v>#N/A</v>
      </c>
      <c r="D400" s="95"/>
      <c r="E400" s="98"/>
    </row>
    <row r="401" ht="15.75" customHeight="1">
      <c r="A401" s="95"/>
      <c r="B401" s="108"/>
      <c r="C401" s="97" t="str">
        <f>VLOOKUP(B401,Stock!$A$2:$B$133,2,0)</f>
        <v>#N/A</v>
      </c>
      <c r="D401" s="95"/>
      <c r="E401" s="98"/>
    </row>
    <row r="402" ht="15.75" customHeight="1">
      <c r="A402" s="95"/>
      <c r="B402" s="108"/>
      <c r="C402" s="97" t="str">
        <f>VLOOKUP(B402,Stock!$A$2:$B$133,2,0)</f>
        <v>#N/A</v>
      </c>
      <c r="D402" s="95"/>
      <c r="E402" s="98"/>
    </row>
    <row r="403" ht="15.75" customHeight="1">
      <c r="A403" s="95"/>
      <c r="B403" s="108"/>
      <c r="C403" s="97" t="str">
        <f>VLOOKUP(B403,Stock!$A$2:$B$133,2,0)</f>
        <v>#N/A</v>
      </c>
      <c r="D403" s="95"/>
      <c r="E403" s="98"/>
    </row>
    <row r="404" ht="15.75" customHeight="1">
      <c r="A404" s="95"/>
      <c r="B404" s="108"/>
      <c r="C404" s="97" t="str">
        <f>VLOOKUP(B404,Stock!$A$2:$B$133,2,0)</f>
        <v>#N/A</v>
      </c>
      <c r="D404" s="95"/>
      <c r="E404" s="98"/>
    </row>
    <row r="405" ht="15.75" customHeight="1">
      <c r="A405" s="95"/>
      <c r="B405" s="108"/>
      <c r="C405" s="97" t="str">
        <f>VLOOKUP(B405,Stock!$A$2:$B$133,2,0)</f>
        <v>#N/A</v>
      </c>
      <c r="D405" s="95"/>
      <c r="E405" s="98"/>
    </row>
    <row r="406" ht="15.75" customHeight="1">
      <c r="A406" s="95"/>
      <c r="B406" s="108"/>
      <c r="C406" s="97" t="str">
        <f>VLOOKUP(B406,Stock!$A$2:$B$133,2,0)</f>
        <v>#N/A</v>
      </c>
      <c r="D406" s="95"/>
      <c r="E406" s="98"/>
    </row>
    <row r="407" ht="15.75" customHeight="1">
      <c r="A407" s="95"/>
      <c r="B407" s="108"/>
      <c r="C407" s="97" t="str">
        <f>VLOOKUP(B407,Stock!$A$2:$B$133,2,0)</f>
        <v>#N/A</v>
      </c>
      <c r="D407" s="95"/>
      <c r="E407" s="98"/>
    </row>
    <row r="408" ht="15.75" customHeight="1">
      <c r="A408" s="95"/>
      <c r="B408" s="108"/>
      <c r="C408" s="97" t="str">
        <f>VLOOKUP(B408,Stock!$A$2:$B$133,2,0)</f>
        <v>#N/A</v>
      </c>
      <c r="D408" s="95"/>
      <c r="E408" s="98"/>
    </row>
    <row r="409" ht="15.75" customHeight="1">
      <c r="A409" s="95"/>
      <c r="B409" s="108"/>
      <c r="C409" s="97" t="str">
        <f>VLOOKUP(B409,Stock!$A$2:$B$133,2,0)</f>
        <v>#N/A</v>
      </c>
      <c r="D409" s="95"/>
      <c r="E409" s="98"/>
    </row>
    <row r="410" ht="15.75" customHeight="1">
      <c r="A410" s="95"/>
      <c r="B410" s="108"/>
      <c r="C410" s="97" t="str">
        <f>VLOOKUP(B410,Stock!$A$2:$B$133,2,0)</f>
        <v>#N/A</v>
      </c>
      <c r="D410" s="95"/>
      <c r="E410" s="98"/>
    </row>
    <row r="411" ht="15.75" customHeight="1">
      <c r="A411" s="95"/>
      <c r="B411" s="108"/>
      <c r="C411" s="97" t="str">
        <f>VLOOKUP(B411,Stock!$A$2:$B$133,2,0)</f>
        <v>#N/A</v>
      </c>
      <c r="D411" s="95"/>
      <c r="E411" s="98"/>
    </row>
    <row r="412" ht="15.75" customHeight="1">
      <c r="A412" s="95"/>
      <c r="B412" s="108"/>
      <c r="C412" s="97" t="str">
        <f>VLOOKUP(B412,Stock!$A$2:$B$133,2,0)</f>
        <v>#N/A</v>
      </c>
      <c r="D412" s="95"/>
      <c r="E412" s="98"/>
    </row>
    <row r="413" ht="15.75" customHeight="1">
      <c r="A413" s="95"/>
      <c r="B413" s="108"/>
      <c r="C413" s="97" t="str">
        <f>VLOOKUP(B413,Stock!$A$2:$B$133,2,0)</f>
        <v>#N/A</v>
      </c>
      <c r="D413" s="95"/>
      <c r="E413" s="98"/>
    </row>
    <row r="414" ht="15.75" customHeight="1">
      <c r="A414" s="95"/>
      <c r="B414" s="108"/>
      <c r="C414" s="97" t="str">
        <f>VLOOKUP(B414,Stock!$A$2:$B$133,2,0)</f>
        <v>#N/A</v>
      </c>
      <c r="D414" s="95"/>
      <c r="E414" s="98"/>
    </row>
    <row r="415" ht="15.75" customHeight="1">
      <c r="A415" s="95"/>
      <c r="B415" s="108"/>
      <c r="C415" s="97" t="str">
        <f>VLOOKUP(B415,Stock!$A$2:$B$133,2,0)</f>
        <v>#N/A</v>
      </c>
      <c r="D415" s="95"/>
      <c r="E415" s="98"/>
    </row>
    <row r="416" ht="15.75" customHeight="1">
      <c r="A416" s="95"/>
      <c r="B416" s="108"/>
      <c r="C416" s="97" t="str">
        <f>VLOOKUP(B416,Stock!$A$2:$B$133,2,0)</f>
        <v>#N/A</v>
      </c>
      <c r="D416" s="95"/>
      <c r="E416" s="98"/>
    </row>
    <row r="417" ht="15.75" customHeight="1">
      <c r="A417" s="95"/>
      <c r="B417" s="108"/>
      <c r="C417" s="97" t="str">
        <f>VLOOKUP(B417,Stock!$A$2:$B$133,2,0)</f>
        <v>#N/A</v>
      </c>
      <c r="D417" s="95"/>
      <c r="E417" s="98"/>
    </row>
    <row r="418" ht="15.75" customHeight="1">
      <c r="A418" s="95"/>
      <c r="B418" s="108"/>
      <c r="C418" s="97" t="str">
        <f>VLOOKUP(B418,Stock!$A$2:$B$133,2,0)</f>
        <v>#N/A</v>
      </c>
      <c r="D418" s="95"/>
      <c r="E418" s="98"/>
    </row>
    <row r="419" ht="15.75" customHeight="1">
      <c r="A419" s="95"/>
      <c r="B419" s="108"/>
      <c r="C419" s="97" t="str">
        <f>VLOOKUP(B419,Stock!$A$2:$B$133,2,0)</f>
        <v>#N/A</v>
      </c>
      <c r="D419" s="95"/>
      <c r="E419" s="98"/>
    </row>
    <row r="420" ht="15.75" customHeight="1">
      <c r="A420" s="95"/>
      <c r="B420" s="108"/>
      <c r="C420" s="97" t="str">
        <f>VLOOKUP(B420,Stock!$A$2:$B$133,2,0)</f>
        <v>#N/A</v>
      </c>
      <c r="D420" s="95"/>
      <c r="E420" s="98"/>
    </row>
    <row r="421" ht="15.75" customHeight="1">
      <c r="A421" s="95"/>
      <c r="B421" s="108"/>
      <c r="C421" s="97" t="str">
        <f>VLOOKUP(B421,Stock!$A$2:$B$133,2,0)</f>
        <v>#N/A</v>
      </c>
      <c r="D421" s="95"/>
      <c r="E421" s="98"/>
    </row>
    <row r="422" ht="15.75" customHeight="1">
      <c r="A422" s="95"/>
      <c r="B422" s="108"/>
      <c r="C422" s="97" t="str">
        <f>VLOOKUP(B422,Stock!$A$2:$B$133,2,0)</f>
        <v>#N/A</v>
      </c>
      <c r="D422" s="95"/>
      <c r="E422" s="98"/>
    </row>
    <row r="423" ht="15.75" customHeight="1">
      <c r="A423" s="95"/>
      <c r="B423" s="108"/>
      <c r="C423" s="97" t="str">
        <f>VLOOKUP(B423,Stock!$A$2:$B$133,2,0)</f>
        <v>#N/A</v>
      </c>
      <c r="D423" s="95"/>
      <c r="E423" s="98"/>
    </row>
    <row r="424" ht="15.75" customHeight="1">
      <c r="A424" s="95"/>
      <c r="B424" s="108"/>
      <c r="C424" s="97" t="str">
        <f>VLOOKUP(B424,Stock!$A$2:$B$133,2,0)</f>
        <v>#N/A</v>
      </c>
      <c r="D424" s="95"/>
      <c r="E424" s="98"/>
    </row>
    <row r="425" ht="15.75" customHeight="1">
      <c r="A425" s="95"/>
      <c r="B425" s="108"/>
      <c r="C425" s="97" t="str">
        <f>VLOOKUP(B425,Stock!$A$2:$B$133,2,0)</f>
        <v>#N/A</v>
      </c>
      <c r="D425" s="95"/>
      <c r="E425" s="98"/>
    </row>
    <row r="426" ht="15.75" customHeight="1">
      <c r="A426" s="95"/>
      <c r="B426" s="108"/>
      <c r="C426" s="97" t="str">
        <f>VLOOKUP(B426,Stock!$A$2:$B$133,2,0)</f>
        <v>#N/A</v>
      </c>
      <c r="D426" s="95"/>
      <c r="E426" s="98"/>
    </row>
    <row r="427" ht="15.75" customHeight="1">
      <c r="A427" s="95"/>
      <c r="B427" s="108"/>
      <c r="C427" s="97" t="str">
        <f>VLOOKUP(B427,Stock!$A$2:$B$133,2,0)</f>
        <v>#N/A</v>
      </c>
      <c r="D427" s="95"/>
      <c r="E427" s="98"/>
    </row>
    <row r="428" ht="15.75" customHeight="1">
      <c r="A428" s="95"/>
      <c r="B428" s="108"/>
      <c r="C428" s="97" t="str">
        <f>VLOOKUP(B428,Stock!$A$2:$B$133,2,0)</f>
        <v>#N/A</v>
      </c>
      <c r="D428" s="95"/>
      <c r="E428" s="98"/>
    </row>
    <row r="429" ht="15.75" customHeight="1">
      <c r="A429" s="95"/>
      <c r="B429" s="108"/>
      <c r="C429" s="97" t="str">
        <f>VLOOKUP(B429,Stock!$A$2:$B$133,2,0)</f>
        <v>#N/A</v>
      </c>
      <c r="D429" s="95"/>
      <c r="E429" s="98"/>
    </row>
    <row r="430" ht="15.75" customHeight="1">
      <c r="A430" s="95"/>
      <c r="B430" s="108"/>
      <c r="C430" s="97" t="str">
        <f>VLOOKUP(B430,Stock!$A$2:$B$133,2,0)</f>
        <v>#N/A</v>
      </c>
      <c r="D430" s="95"/>
      <c r="E430" s="98"/>
    </row>
    <row r="431" ht="15.75" customHeight="1">
      <c r="A431" s="95"/>
      <c r="B431" s="108"/>
      <c r="C431" s="97" t="str">
        <f>VLOOKUP(B431,Stock!$A$2:$B$133,2,0)</f>
        <v>#N/A</v>
      </c>
      <c r="D431" s="95"/>
      <c r="E431" s="98"/>
    </row>
    <row r="432" ht="15.75" customHeight="1">
      <c r="A432" s="95"/>
      <c r="B432" s="108"/>
      <c r="C432" s="97" t="str">
        <f>VLOOKUP(B432,Stock!$A$2:$B$133,2,0)</f>
        <v>#N/A</v>
      </c>
      <c r="D432" s="95"/>
      <c r="E432" s="98"/>
    </row>
    <row r="433" ht="15.75" customHeight="1">
      <c r="A433" s="95"/>
      <c r="B433" s="108"/>
      <c r="C433" s="97" t="str">
        <f>VLOOKUP(B433,Stock!$A$2:$B$133,2,0)</f>
        <v>#N/A</v>
      </c>
      <c r="D433" s="95"/>
      <c r="E433" s="98"/>
    </row>
    <row r="434" ht="15.75" customHeight="1">
      <c r="A434" s="95"/>
      <c r="B434" s="108"/>
      <c r="C434" s="97" t="str">
        <f>VLOOKUP(B434,Stock!$A$2:$B$133,2,0)</f>
        <v>#N/A</v>
      </c>
      <c r="D434" s="95"/>
      <c r="E434" s="98"/>
    </row>
    <row r="435" ht="15.75" customHeight="1">
      <c r="A435" s="95"/>
      <c r="B435" s="108"/>
      <c r="C435" s="97" t="str">
        <f>VLOOKUP(B435,Stock!$A$2:$B$133,2,0)</f>
        <v>#N/A</v>
      </c>
      <c r="D435" s="95"/>
      <c r="E435" s="98"/>
    </row>
    <row r="436" ht="15.75" customHeight="1">
      <c r="A436" s="95"/>
      <c r="B436" s="108"/>
      <c r="C436" s="97" t="str">
        <f>VLOOKUP(B436,Stock!$A$2:$B$133,2,0)</f>
        <v>#N/A</v>
      </c>
      <c r="D436" s="95"/>
      <c r="E436" s="98"/>
    </row>
    <row r="437" ht="15.75" customHeight="1">
      <c r="A437" s="95"/>
      <c r="B437" s="108"/>
      <c r="C437" s="97" t="str">
        <f>VLOOKUP(B437,Stock!$A$2:$B$133,2,0)</f>
        <v>#N/A</v>
      </c>
      <c r="D437" s="95"/>
      <c r="E437" s="98"/>
    </row>
    <row r="438" ht="15.75" customHeight="1">
      <c r="A438" s="95"/>
      <c r="B438" s="108"/>
      <c r="C438" s="97" t="str">
        <f>VLOOKUP(B438,Stock!$A$2:$B$133,2,0)</f>
        <v>#N/A</v>
      </c>
      <c r="D438" s="95"/>
      <c r="E438" s="98"/>
    </row>
    <row r="439" ht="15.75" customHeight="1">
      <c r="A439" s="95"/>
      <c r="B439" s="108"/>
      <c r="C439" s="97" t="str">
        <f>VLOOKUP(B439,Stock!$A$2:$B$133,2,0)</f>
        <v>#N/A</v>
      </c>
      <c r="D439" s="95"/>
      <c r="E439" s="98"/>
    </row>
    <row r="440" ht="15.75" customHeight="1">
      <c r="A440" s="95"/>
      <c r="B440" s="108"/>
      <c r="C440" s="97" t="str">
        <f>VLOOKUP(B440,Stock!$A$2:$B$133,2,0)</f>
        <v>#N/A</v>
      </c>
      <c r="D440" s="95"/>
      <c r="E440" s="98"/>
    </row>
    <row r="441" ht="15.75" customHeight="1">
      <c r="A441" s="95"/>
      <c r="B441" s="108"/>
      <c r="C441" s="97" t="str">
        <f>VLOOKUP(B441,Stock!$A$2:$B$133,2,0)</f>
        <v>#N/A</v>
      </c>
      <c r="D441" s="95"/>
      <c r="E441" s="98"/>
    </row>
    <row r="442" ht="15.75" customHeight="1">
      <c r="A442" s="95"/>
      <c r="B442" s="108"/>
      <c r="C442" s="97" t="str">
        <f>VLOOKUP(B442,Stock!$A$2:$B$133,2,0)</f>
        <v>#N/A</v>
      </c>
      <c r="D442" s="95"/>
      <c r="E442" s="98"/>
    </row>
    <row r="443" ht="15.75" customHeight="1">
      <c r="A443" s="95"/>
      <c r="B443" s="108"/>
      <c r="C443" s="97" t="str">
        <f>VLOOKUP(B443,Stock!$A$2:$B$133,2,0)</f>
        <v>#N/A</v>
      </c>
      <c r="D443" s="95"/>
      <c r="E443" s="98"/>
    </row>
    <row r="444" ht="15.75" customHeight="1">
      <c r="A444" s="95"/>
      <c r="B444" s="108"/>
      <c r="C444" s="97" t="str">
        <f>VLOOKUP(B444,Stock!$A$2:$B$133,2,0)</f>
        <v>#N/A</v>
      </c>
      <c r="D444" s="95"/>
      <c r="E444" s="98"/>
    </row>
    <row r="445" ht="15.75" customHeight="1">
      <c r="A445" s="95"/>
      <c r="B445" s="108"/>
      <c r="C445" s="97" t="str">
        <f>VLOOKUP(B445,Stock!$A$2:$B$133,2,0)</f>
        <v>#N/A</v>
      </c>
      <c r="D445" s="95"/>
      <c r="E445" s="98"/>
    </row>
    <row r="446" ht="15.75" customHeight="1">
      <c r="A446" s="95"/>
      <c r="B446" s="108"/>
      <c r="C446" s="97" t="str">
        <f>VLOOKUP(B446,Stock!$A$2:$B$133,2,0)</f>
        <v>#N/A</v>
      </c>
      <c r="D446" s="95"/>
      <c r="E446" s="98"/>
    </row>
    <row r="447" ht="15.75" customHeight="1">
      <c r="A447" s="95"/>
      <c r="B447" s="108"/>
      <c r="C447" s="97" t="str">
        <f>VLOOKUP(B447,Stock!$A$2:$B$133,2,0)</f>
        <v>#N/A</v>
      </c>
      <c r="D447" s="95"/>
      <c r="E447" s="98"/>
    </row>
    <row r="448" ht="15.75" customHeight="1">
      <c r="A448" s="95"/>
      <c r="B448" s="108"/>
      <c r="C448" s="97" t="str">
        <f>VLOOKUP(B448,Stock!$A$2:$B$133,2,0)</f>
        <v>#N/A</v>
      </c>
      <c r="D448" s="95"/>
      <c r="E448" s="98"/>
    </row>
    <row r="449" ht="15.75" customHeight="1">
      <c r="A449" s="95"/>
      <c r="B449" s="108"/>
      <c r="C449" s="97" t="str">
        <f>VLOOKUP(B449,Stock!$A$2:$B$133,2,0)</f>
        <v>#N/A</v>
      </c>
      <c r="D449" s="95"/>
      <c r="E449" s="98"/>
    </row>
    <row r="450" ht="15.75" customHeight="1">
      <c r="A450" s="95"/>
      <c r="B450" s="108"/>
      <c r="C450" s="97" t="str">
        <f>VLOOKUP(B450,Stock!$A$2:$B$133,2,0)</f>
        <v>#N/A</v>
      </c>
      <c r="D450" s="95"/>
      <c r="E450" s="98"/>
    </row>
    <row r="451" ht="15.75" customHeight="1">
      <c r="A451" s="95"/>
      <c r="B451" s="108"/>
      <c r="C451" s="97" t="str">
        <f>VLOOKUP(B451,Stock!$A$2:$B$133,2,0)</f>
        <v>#N/A</v>
      </c>
      <c r="D451" s="95"/>
      <c r="E451" s="98"/>
    </row>
    <row r="452" ht="15.75" customHeight="1">
      <c r="A452" s="95"/>
      <c r="B452" s="108"/>
      <c r="C452" s="97" t="str">
        <f>VLOOKUP(B452,Stock!$A$2:$B$133,2,0)</f>
        <v>#N/A</v>
      </c>
      <c r="D452" s="95"/>
      <c r="E452" s="98"/>
    </row>
    <row r="453" ht="15.75" customHeight="1">
      <c r="A453" s="95"/>
      <c r="B453" s="108"/>
      <c r="C453" s="97" t="str">
        <f>VLOOKUP(B453,Stock!$A$2:$B$133,2,0)</f>
        <v>#N/A</v>
      </c>
      <c r="D453" s="95"/>
      <c r="E453" s="98"/>
    </row>
    <row r="454" ht="15.75" customHeight="1">
      <c r="A454" s="95"/>
      <c r="B454" s="108"/>
      <c r="C454" s="97" t="str">
        <f>VLOOKUP(B454,Stock!$A$2:$B$133,2,0)</f>
        <v>#N/A</v>
      </c>
      <c r="D454" s="95"/>
      <c r="E454" s="98"/>
    </row>
    <row r="455" ht="15.75" customHeight="1">
      <c r="A455" s="95"/>
      <c r="B455" s="108"/>
      <c r="C455" s="97" t="str">
        <f>VLOOKUP(B455,Stock!$A$2:$B$133,2,0)</f>
        <v>#N/A</v>
      </c>
      <c r="D455" s="95"/>
      <c r="E455" s="98"/>
    </row>
    <row r="456" ht="15.75" customHeight="1">
      <c r="A456" s="95"/>
      <c r="B456" s="108"/>
      <c r="C456" s="97" t="str">
        <f>VLOOKUP(B456,Stock!$A$2:$B$133,2,0)</f>
        <v>#N/A</v>
      </c>
      <c r="D456" s="95"/>
      <c r="E456" s="98"/>
    </row>
    <row r="457" ht="15.75" customHeight="1">
      <c r="A457" s="95"/>
      <c r="B457" s="108"/>
      <c r="C457" s="97" t="str">
        <f>VLOOKUP(B457,Stock!$A$2:$B$133,2,0)</f>
        <v>#N/A</v>
      </c>
      <c r="D457" s="95"/>
      <c r="E457" s="98"/>
    </row>
    <row r="458" ht="15.75" customHeight="1">
      <c r="A458" s="95"/>
      <c r="B458" s="108"/>
      <c r="C458" s="97" t="str">
        <f>VLOOKUP(B458,Stock!$A$2:$B$133,2,0)</f>
        <v>#N/A</v>
      </c>
      <c r="D458" s="95"/>
      <c r="E458" s="98"/>
    </row>
    <row r="459" ht="15.75" customHeight="1">
      <c r="A459" s="95"/>
      <c r="B459" s="108"/>
      <c r="C459" s="97" t="str">
        <f>VLOOKUP(B459,Stock!$A$2:$B$133,2,0)</f>
        <v>#N/A</v>
      </c>
      <c r="D459" s="95"/>
      <c r="E459" s="98"/>
    </row>
    <row r="460" ht="15.75" customHeight="1">
      <c r="A460" s="95"/>
      <c r="B460" s="108"/>
      <c r="C460" s="97" t="str">
        <f>VLOOKUP(B460,Stock!$A$2:$B$133,2,0)</f>
        <v>#N/A</v>
      </c>
      <c r="D460" s="95"/>
      <c r="E460" s="98"/>
    </row>
    <row r="461" ht="15.75" customHeight="1">
      <c r="A461" s="95"/>
      <c r="B461" s="108"/>
      <c r="C461" s="97" t="str">
        <f>VLOOKUP(B461,Stock!$A$2:$B$133,2,0)</f>
        <v>#N/A</v>
      </c>
      <c r="D461" s="95"/>
      <c r="E461" s="98"/>
    </row>
    <row r="462" ht="15.75" customHeight="1">
      <c r="A462" s="95"/>
      <c r="B462" s="108"/>
      <c r="C462" s="97" t="str">
        <f>VLOOKUP(B462,Stock!$A$2:$B$133,2,0)</f>
        <v>#N/A</v>
      </c>
      <c r="D462" s="95"/>
      <c r="E462" s="98"/>
    </row>
    <row r="463" ht="15.75" customHeight="1">
      <c r="A463" s="95"/>
      <c r="B463" s="108"/>
      <c r="C463" s="97" t="str">
        <f>VLOOKUP(B463,Stock!$A$2:$B$133,2,0)</f>
        <v>#N/A</v>
      </c>
      <c r="D463" s="95"/>
      <c r="E463" s="98"/>
    </row>
    <row r="464" ht="15.75" customHeight="1">
      <c r="A464" s="95"/>
      <c r="B464" s="108"/>
      <c r="C464" s="97" t="str">
        <f>VLOOKUP(B464,Stock!$A$2:$B$133,2,0)</f>
        <v>#N/A</v>
      </c>
      <c r="D464" s="95"/>
      <c r="E464" s="98"/>
    </row>
    <row r="465" ht="15.75" customHeight="1">
      <c r="A465" s="95"/>
      <c r="B465" s="108"/>
      <c r="C465" s="97" t="str">
        <f>VLOOKUP(B465,Stock!$A$2:$B$133,2,0)</f>
        <v>#N/A</v>
      </c>
      <c r="D465" s="95"/>
      <c r="E465" s="98"/>
    </row>
    <row r="466" ht="15.75" customHeight="1">
      <c r="A466" s="95"/>
      <c r="B466" s="108"/>
      <c r="C466" s="97" t="str">
        <f>VLOOKUP(B466,Stock!$A$2:$B$133,2,0)</f>
        <v>#N/A</v>
      </c>
      <c r="D466" s="95"/>
      <c r="E466" s="98"/>
    </row>
    <row r="467" ht="15.75" customHeight="1">
      <c r="A467" s="95"/>
      <c r="B467" s="108"/>
      <c r="C467" s="97" t="str">
        <f>VLOOKUP(B467,Stock!$A$2:$B$133,2,0)</f>
        <v>#N/A</v>
      </c>
      <c r="D467" s="95"/>
      <c r="E467" s="98"/>
    </row>
    <row r="468" ht="15.75" customHeight="1">
      <c r="A468" s="95"/>
      <c r="B468" s="108"/>
      <c r="C468" s="97" t="str">
        <f>VLOOKUP(B468,Stock!$A$2:$B$133,2,0)</f>
        <v>#N/A</v>
      </c>
      <c r="D468" s="95"/>
      <c r="E468" s="98"/>
    </row>
    <row r="469" ht="15.75" customHeight="1">
      <c r="A469" s="95"/>
      <c r="B469" s="108"/>
      <c r="C469" s="97" t="str">
        <f>VLOOKUP(B469,Stock!$A$2:$B$133,2,0)</f>
        <v>#N/A</v>
      </c>
      <c r="D469" s="95"/>
      <c r="E469" s="98"/>
    </row>
    <row r="470" ht="15.75" customHeight="1">
      <c r="A470" s="95"/>
      <c r="B470" s="108"/>
      <c r="C470" s="97" t="str">
        <f>VLOOKUP(B470,Stock!$A$2:$B$133,2,0)</f>
        <v>#N/A</v>
      </c>
      <c r="D470" s="95"/>
      <c r="E470" s="98"/>
    </row>
    <row r="471" ht="15.75" customHeight="1">
      <c r="A471" s="95"/>
      <c r="B471" s="108"/>
      <c r="C471" s="97" t="str">
        <f>VLOOKUP(B471,Stock!$A$2:$B$133,2,0)</f>
        <v>#N/A</v>
      </c>
      <c r="D471" s="95"/>
      <c r="E471" s="98"/>
    </row>
    <row r="472" ht="15.75" customHeight="1">
      <c r="A472" s="95"/>
      <c r="B472" s="108"/>
      <c r="C472" s="97" t="str">
        <f>VLOOKUP(B472,Stock!$A$2:$B$133,2,0)</f>
        <v>#N/A</v>
      </c>
      <c r="D472" s="95"/>
      <c r="E472" s="98"/>
    </row>
    <row r="473" ht="15.75" customHeight="1">
      <c r="A473" s="95"/>
      <c r="B473" s="108"/>
      <c r="C473" s="97" t="str">
        <f>VLOOKUP(B473,Stock!$A$2:$B$133,2,0)</f>
        <v>#N/A</v>
      </c>
      <c r="D473" s="95"/>
      <c r="E473" s="98"/>
    </row>
    <row r="474" ht="15.75" customHeight="1">
      <c r="A474" s="95"/>
      <c r="B474" s="108"/>
      <c r="C474" s="97" t="str">
        <f>VLOOKUP(B474,Stock!$A$2:$B$133,2,0)</f>
        <v>#N/A</v>
      </c>
      <c r="D474" s="95"/>
      <c r="E474" s="98"/>
    </row>
    <row r="475" ht="15.75" customHeight="1">
      <c r="A475" s="95"/>
      <c r="B475" s="108"/>
      <c r="C475" s="97" t="str">
        <f>VLOOKUP(B475,Stock!$A$2:$B$133,2,0)</f>
        <v>#N/A</v>
      </c>
      <c r="D475" s="95"/>
      <c r="E475" s="98"/>
    </row>
    <row r="476" ht="15.75" customHeight="1">
      <c r="A476" s="95"/>
      <c r="B476" s="108"/>
      <c r="C476" s="97" t="str">
        <f>VLOOKUP(B476,Stock!$A$2:$B$133,2,0)</f>
        <v>#N/A</v>
      </c>
      <c r="D476" s="95"/>
      <c r="E476" s="98"/>
    </row>
    <row r="477" ht="15.75" customHeight="1">
      <c r="A477" s="95"/>
      <c r="B477" s="108"/>
      <c r="C477" s="97" t="str">
        <f>VLOOKUP(B477,Stock!$A$2:$B$133,2,0)</f>
        <v>#N/A</v>
      </c>
      <c r="D477" s="95"/>
      <c r="E477" s="98"/>
    </row>
    <row r="478" ht="15.75" customHeight="1">
      <c r="A478" s="95"/>
      <c r="B478" s="108"/>
      <c r="C478" s="97" t="str">
        <f>VLOOKUP(B478,Stock!$A$2:$B$133,2,0)</f>
        <v>#N/A</v>
      </c>
      <c r="D478" s="95"/>
      <c r="E478" s="98"/>
    </row>
    <row r="479" ht="15.75" customHeight="1">
      <c r="A479" s="95"/>
      <c r="B479" s="108"/>
      <c r="C479" s="97" t="str">
        <f>VLOOKUP(B479,Stock!$A$2:$B$133,2,0)</f>
        <v>#N/A</v>
      </c>
      <c r="D479" s="95"/>
      <c r="E479" s="98"/>
    </row>
    <row r="480" ht="15.75" customHeight="1">
      <c r="A480" s="95"/>
      <c r="B480" s="108"/>
      <c r="C480" s="97" t="str">
        <f>VLOOKUP(B480,Stock!$A$2:$B$133,2,0)</f>
        <v>#N/A</v>
      </c>
      <c r="D480" s="95"/>
      <c r="E480" s="98"/>
    </row>
    <row r="481" ht="15.75" customHeight="1">
      <c r="A481" s="95"/>
      <c r="B481" s="108"/>
      <c r="C481" s="97" t="str">
        <f>VLOOKUP(B481,Stock!$A$2:$B$133,2,0)</f>
        <v>#N/A</v>
      </c>
      <c r="D481" s="95"/>
      <c r="E481" s="98"/>
    </row>
    <row r="482" ht="15.75" customHeight="1">
      <c r="A482" s="95"/>
      <c r="B482" s="108"/>
      <c r="C482" s="97" t="str">
        <f>VLOOKUP(B482,Stock!$A$2:$B$133,2,0)</f>
        <v>#N/A</v>
      </c>
      <c r="D482" s="95"/>
      <c r="E482" s="98"/>
    </row>
    <row r="483" ht="15.75" customHeight="1">
      <c r="A483" s="95"/>
      <c r="B483" s="108"/>
      <c r="C483" s="97" t="str">
        <f>VLOOKUP(B483,Stock!$A$2:$B$133,2,0)</f>
        <v>#N/A</v>
      </c>
      <c r="D483" s="95"/>
      <c r="E483" s="98"/>
    </row>
    <row r="484" ht="15.75" customHeight="1">
      <c r="A484" s="95"/>
      <c r="B484" s="108"/>
      <c r="C484" s="97" t="str">
        <f>VLOOKUP(B484,Stock!$A$2:$B$133,2,0)</f>
        <v>#N/A</v>
      </c>
      <c r="D484" s="95"/>
      <c r="E484" s="98"/>
    </row>
    <row r="485" ht="15.75" customHeight="1">
      <c r="A485" s="95"/>
      <c r="B485" s="108"/>
      <c r="C485" s="97" t="str">
        <f>VLOOKUP(B485,Stock!$A$2:$B$133,2,0)</f>
        <v>#N/A</v>
      </c>
      <c r="D485" s="95"/>
      <c r="E485" s="98"/>
    </row>
    <row r="486" ht="15.75" customHeight="1">
      <c r="A486" s="95"/>
      <c r="B486" s="108"/>
      <c r="C486" s="97" t="str">
        <f>VLOOKUP(B486,Stock!$A$2:$B$133,2,0)</f>
        <v>#N/A</v>
      </c>
      <c r="D486" s="95"/>
      <c r="E486" s="98"/>
    </row>
    <row r="487" ht="15.75" customHeight="1">
      <c r="A487" s="95"/>
      <c r="B487" s="108"/>
      <c r="C487" s="97" t="str">
        <f>VLOOKUP(B487,Stock!$A$2:$B$133,2,0)</f>
        <v>#N/A</v>
      </c>
      <c r="D487" s="95"/>
      <c r="E487" s="98"/>
    </row>
    <row r="488" ht="15.75" customHeight="1">
      <c r="A488" s="95"/>
      <c r="B488" s="108"/>
      <c r="C488" s="97" t="str">
        <f>VLOOKUP(B488,Stock!$A$2:$B$133,2,0)</f>
        <v>#N/A</v>
      </c>
      <c r="D488" s="95"/>
      <c r="E488" s="98"/>
    </row>
    <row r="489" ht="15.75" customHeight="1">
      <c r="A489" s="95"/>
      <c r="B489" s="108"/>
      <c r="C489" s="97" t="str">
        <f>VLOOKUP(B489,Stock!$A$2:$B$133,2,0)</f>
        <v>#N/A</v>
      </c>
      <c r="D489" s="95"/>
      <c r="E489" s="98"/>
    </row>
    <row r="490" ht="15.75" customHeight="1">
      <c r="A490" s="95"/>
      <c r="B490" s="108"/>
      <c r="C490" s="97" t="str">
        <f>VLOOKUP(B490,Stock!$A$2:$B$133,2,0)</f>
        <v>#N/A</v>
      </c>
      <c r="D490" s="95"/>
      <c r="E490" s="98"/>
    </row>
    <row r="491" ht="15.75" customHeight="1">
      <c r="A491" s="95"/>
      <c r="B491" s="108"/>
      <c r="C491" s="97" t="str">
        <f>VLOOKUP(B491,Stock!$A$2:$B$133,2,0)</f>
        <v>#N/A</v>
      </c>
      <c r="D491" s="95"/>
      <c r="E491" s="98"/>
    </row>
    <row r="492" ht="15.75" customHeight="1">
      <c r="A492" s="95"/>
      <c r="B492" s="108"/>
      <c r="C492" s="97" t="str">
        <f>VLOOKUP(B492,Stock!$A$2:$B$133,2,0)</f>
        <v>#N/A</v>
      </c>
      <c r="D492" s="95"/>
      <c r="E492" s="98"/>
    </row>
    <row r="493" ht="15.75" customHeight="1">
      <c r="A493" s="95"/>
      <c r="B493" s="108"/>
      <c r="C493" s="97" t="str">
        <f>VLOOKUP(B493,Stock!$A$2:$B$133,2,0)</f>
        <v>#N/A</v>
      </c>
      <c r="D493" s="95"/>
      <c r="E493" s="98"/>
    </row>
    <row r="494" ht="15.75" customHeight="1">
      <c r="A494" s="95"/>
      <c r="B494" s="108"/>
      <c r="C494" s="97" t="str">
        <f>VLOOKUP(B494,Stock!$A$2:$B$133,2,0)</f>
        <v>#N/A</v>
      </c>
      <c r="D494" s="95"/>
      <c r="E494" s="98"/>
    </row>
    <row r="495" ht="15.75" customHeight="1">
      <c r="A495" s="95"/>
      <c r="B495" s="108"/>
      <c r="C495" s="97" t="str">
        <f>VLOOKUP(B495,Stock!$A$2:$B$133,2,0)</f>
        <v>#N/A</v>
      </c>
      <c r="D495" s="95"/>
      <c r="E495" s="98"/>
    </row>
    <row r="496" ht="15.75" customHeight="1">
      <c r="A496" s="95"/>
      <c r="B496" s="108"/>
      <c r="C496" s="97" t="str">
        <f>VLOOKUP(B496,Stock!$A$2:$B$133,2,0)</f>
        <v>#N/A</v>
      </c>
      <c r="D496" s="95"/>
      <c r="E496" s="98"/>
    </row>
    <row r="497" ht="15.75" customHeight="1">
      <c r="A497" s="95"/>
      <c r="B497" s="108"/>
      <c r="C497" s="97" t="str">
        <f>VLOOKUP(B497,Stock!$A$2:$B$133,2,0)</f>
        <v>#N/A</v>
      </c>
      <c r="D497" s="95"/>
      <c r="E497" s="98"/>
    </row>
    <row r="498" ht="15.75" customHeight="1">
      <c r="A498" s="95"/>
      <c r="B498" s="108"/>
      <c r="C498" s="97" t="str">
        <f>VLOOKUP(B498,Stock!$A$2:$B$133,2,0)</f>
        <v>#N/A</v>
      </c>
      <c r="D498" s="95"/>
      <c r="E498" s="98"/>
    </row>
    <row r="499" ht="15.75" customHeight="1">
      <c r="A499" s="95"/>
      <c r="B499" s="108"/>
      <c r="C499" s="97" t="str">
        <f>VLOOKUP(B499,Stock!$A$2:$B$133,2,0)</f>
        <v>#N/A</v>
      </c>
      <c r="D499" s="95"/>
      <c r="E499" s="98"/>
    </row>
    <row r="500" ht="15.75" customHeight="1">
      <c r="A500" s="95"/>
      <c r="B500" s="108"/>
      <c r="C500" s="97" t="str">
        <f>VLOOKUP(B500,Stock!$A$2:$B$133,2,0)</f>
        <v>#N/A</v>
      </c>
      <c r="D500" s="95"/>
      <c r="E500" s="98"/>
    </row>
    <row r="501" ht="15.75" customHeight="1">
      <c r="A501" s="95"/>
      <c r="B501" s="108"/>
      <c r="C501" s="97" t="str">
        <f>VLOOKUP(B501,Stock!$A$2:$B$133,2,0)</f>
        <v>#N/A</v>
      </c>
      <c r="D501" s="95"/>
      <c r="E501" s="98"/>
    </row>
    <row r="502" ht="15.75" customHeight="1">
      <c r="A502" s="95"/>
      <c r="B502" s="108"/>
      <c r="C502" s="97" t="str">
        <f>VLOOKUP(B502,Stock!$A$2:$B$133,2,0)</f>
        <v>#N/A</v>
      </c>
      <c r="D502" s="95"/>
      <c r="E502" s="98"/>
    </row>
    <row r="503" ht="15.75" customHeight="1">
      <c r="A503" s="95"/>
      <c r="B503" s="108"/>
      <c r="C503" s="97" t="str">
        <f>VLOOKUP(B503,Stock!$A$2:$B$133,2,0)</f>
        <v>#N/A</v>
      </c>
      <c r="D503" s="95"/>
      <c r="E503" s="98"/>
    </row>
    <row r="504" ht="15.75" customHeight="1">
      <c r="A504" s="95"/>
      <c r="B504" s="108"/>
      <c r="C504" s="97" t="str">
        <f>VLOOKUP(B504,Stock!$A$2:$B$133,2,0)</f>
        <v>#N/A</v>
      </c>
      <c r="D504" s="95"/>
      <c r="E504" s="98"/>
    </row>
    <row r="505" ht="15.75" customHeight="1">
      <c r="A505" s="95"/>
      <c r="B505" s="108"/>
      <c r="C505" s="97" t="str">
        <f>VLOOKUP(B505,Stock!$A$2:$B$133,2,0)</f>
        <v>#N/A</v>
      </c>
      <c r="D505" s="95"/>
      <c r="E505" s="98"/>
    </row>
    <row r="506" ht="15.75" customHeight="1">
      <c r="A506" s="95"/>
      <c r="B506" s="108"/>
      <c r="C506" s="97" t="str">
        <f>VLOOKUP(B506,Stock!$A$2:$B$133,2,0)</f>
        <v>#N/A</v>
      </c>
      <c r="D506" s="95"/>
      <c r="E506" s="98"/>
    </row>
    <row r="507" ht="15.75" customHeight="1">
      <c r="A507" s="95"/>
      <c r="B507" s="108"/>
      <c r="C507" s="97" t="str">
        <f>VLOOKUP(B507,Stock!$A$2:$B$133,2,0)</f>
        <v>#N/A</v>
      </c>
      <c r="D507" s="95"/>
      <c r="E507" s="98"/>
    </row>
    <row r="508" ht="15.75" customHeight="1">
      <c r="A508" s="95"/>
      <c r="B508" s="108"/>
      <c r="C508" s="97" t="str">
        <f>VLOOKUP(B508,Stock!$A$2:$B$133,2,0)</f>
        <v>#N/A</v>
      </c>
      <c r="D508" s="95"/>
      <c r="E508" s="98"/>
    </row>
    <row r="509" ht="15.75" customHeight="1">
      <c r="A509" s="95"/>
      <c r="B509" s="108"/>
      <c r="C509" s="97" t="str">
        <f>VLOOKUP(B509,Stock!$A$2:$B$133,2,0)</f>
        <v>#N/A</v>
      </c>
      <c r="D509" s="95"/>
      <c r="E509" s="98"/>
    </row>
    <row r="510" ht="15.75" customHeight="1">
      <c r="A510" s="95"/>
      <c r="B510" s="108"/>
      <c r="C510" s="97" t="str">
        <f>VLOOKUP(B510,Stock!$A$2:$B$133,2,0)</f>
        <v>#N/A</v>
      </c>
      <c r="D510" s="95"/>
      <c r="E510" s="98"/>
    </row>
    <row r="511" ht="15.75" customHeight="1">
      <c r="A511" s="95"/>
      <c r="B511" s="108"/>
      <c r="C511" s="97" t="str">
        <f>VLOOKUP(B511,Stock!$A$2:$B$133,2,0)</f>
        <v>#N/A</v>
      </c>
      <c r="D511" s="95"/>
      <c r="E511" s="98"/>
    </row>
    <row r="512" ht="15.75" customHeight="1">
      <c r="A512" s="95"/>
      <c r="B512" s="108"/>
      <c r="C512" s="97" t="str">
        <f>VLOOKUP(B512,Stock!$A$2:$B$133,2,0)</f>
        <v>#N/A</v>
      </c>
      <c r="D512" s="95"/>
      <c r="E512" s="98"/>
    </row>
    <row r="513" ht="15.75" customHeight="1">
      <c r="A513" s="95"/>
      <c r="B513" s="108"/>
      <c r="C513" s="97" t="str">
        <f>VLOOKUP(B513,Stock!$A$2:$B$133,2,0)</f>
        <v>#N/A</v>
      </c>
      <c r="D513" s="95"/>
      <c r="E513" s="98"/>
    </row>
    <row r="514" ht="15.75" customHeight="1">
      <c r="A514" s="95"/>
      <c r="B514" s="108"/>
      <c r="C514" s="97" t="str">
        <f>VLOOKUP(B514,Stock!$A$2:$B$133,2,0)</f>
        <v>#N/A</v>
      </c>
      <c r="D514" s="95"/>
      <c r="E514" s="98"/>
    </row>
    <row r="515" ht="15.75" customHeight="1">
      <c r="A515" s="95"/>
      <c r="B515" s="108"/>
      <c r="C515" s="97" t="str">
        <f>VLOOKUP(B515,Stock!$A$2:$B$133,2,0)</f>
        <v>#N/A</v>
      </c>
      <c r="D515" s="95"/>
      <c r="E515" s="98"/>
    </row>
    <row r="516" ht="15.75" customHeight="1">
      <c r="A516" s="95"/>
      <c r="B516" s="108"/>
      <c r="C516" s="97" t="str">
        <f>VLOOKUP(B516,Stock!$A$2:$B$133,2,0)</f>
        <v>#N/A</v>
      </c>
      <c r="D516" s="95"/>
      <c r="E516" s="98"/>
    </row>
    <row r="517" ht="15.75" customHeight="1">
      <c r="A517" s="95"/>
      <c r="B517" s="108"/>
      <c r="C517" s="97" t="str">
        <f>VLOOKUP(B517,Stock!$A$2:$B$133,2,0)</f>
        <v>#N/A</v>
      </c>
      <c r="D517" s="95"/>
      <c r="E517" s="98"/>
    </row>
    <row r="518" ht="15.75" customHeight="1">
      <c r="A518" s="95"/>
      <c r="B518" s="108"/>
      <c r="C518" s="97" t="str">
        <f>VLOOKUP(B518,Stock!$A$2:$B$133,2,0)</f>
        <v>#N/A</v>
      </c>
      <c r="D518" s="95"/>
      <c r="E518" s="98"/>
    </row>
    <row r="519" ht="15.75" customHeight="1">
      <c r="A519" s="95"/>
      <c r="B519" s="108"/>
      <c r="C519" s="97" t="str">
        <f>VLOOKUP(B519,Stock!$A$2:$B$133,2,0)</f>
        <v>#N/A</v>
      </c>
      <c r="D519" s="95"/>
      <c r="E519" s="98"/>
    </row>
    <row r="520" ht="15.75" customHeight="1">
      <c r="A520" s="95"/>
      <c r="B520" s="108"/>
      <c r="C520" s="97" t="str">
        <f>VLOOKUP(B520,Stock!$A$2:$B$133,2,0)</f>
        <v>#N/A</v>
      </c>
      <c r="D520" s="95"/>
      <c r="E520" s="98"/>
    </row>
    <row r="521" ht="15.75" customHeight="1">
      <c r="A521" s="95"/>
      <c r="B521" s="108"/>
      <c r="C521" s="97" t="str">
        <f>VLOOKUP(B521,Stock!$A$2:$B$133,2,0)</f>
        <v>#N/A</v>
      </c>
      <c r="D521" s="95"/>
      <c r="E521" s="98"/>
    </row>
    <row r="522" ht="15.75" customHeight="1">
      <c r="A522" s="95"/>
      <c r="B522" s="108"/>
      <c r="C522" s="97" t="str">
        <f>VLOOKUP(B522,Stock!$A$2:$B$133,2,0)</f>
        <v>#N/A</v>
      </c>
      <c r="D522" s="95"/>
      <c r="E522" s="98"/>
    </row>
    <row r="523" ht="15.75" customHeight="1">
      <c r="A523" s="95"/>
      <c r="B523" s="108"/>
      <c r="C523" s="97" t="str">
        <f>VLOOKUP(B523,Stock!$A$2:$B$133,2,0)</f>
        <v>#N/A</v>
      </c>
      <c r="D523" s="95"/>
      <c r="E523" s="98"/>
    </row>
    <row r="524" ht="15.75" customHeight="1">
      <c r="A524" s="95"/>
      <c r="B524" s="108"/>
      <c r="C524" s="97" t="str">
        <f>VLOOKUP(B524,Stock!$A$2:$B$133,2,0)</f>
        <v>#N/A</v>
      </c>
      <c r="D524" s="95"/>
      <c r="E524" s="98"/>
    </row>
    <row r="525" ht="15.75" customHeight="1">
      <c r="A525" s="95"/>
      <c r="B525" s="108"/>
      <c r="C525" s="97" t="str">
        <f>VLOOKUP(B525,Stock!$A$2:$B$133,2,0)</f>
        <v>#N/A</v>
      </c>
      <c r="D525" s="95"/>
      <c r="E525" s="98"/>
    </row>
    <row r="526" ht="15.75" customHeight="1">
      <c r="A526" s="95"/>
      <c r="B526" s="108"/>
      <c r="C526" s="97" t="str">
        <f>VLOOKUP(B526,Stock!$A$2:$B$133,2,0)</f>
        <v>#N/A</v>
      </c>
      <c r="D526" s="95"/>
      <c r="E526" s="98"/>
    </row>
    <row r="527" ht="15.75" customHeight="1">
      <c r="A527" s="95"/>
      <c r="B527" s="108"/>
      <c r="C527" s="97" t="str">
        <f>VLOOKUP(B527,Stock!$A$2:$B$133,2,0)</f>
        <v>#N/A</v>
      </c>
      <c r="D527" s="95"/>
      <c r="E527" s="98"/>
    </row>
    <row r="528" ht="15.75" customHeight="1">
      <c r="A528" s="95"/>
      <c r="B528" s="108"/>
      <c r="C528" s="97" t="str">
        <f>VLOOKUP(B528,Stock!$A$2:$B$133,2,0)</f>
        <v>#N/A</v>
      </c>
      <c r="D528" s="95"/>
      <c r="E528" s="98"/>
    </row>
    <row r="529" ht="15.75" customHeight="1">
      <c r="A529" s="95"/>
      <c r="B529" s="108"/>
      <c r="C529" s="97" t="str">
        <f>VLOOKUP(B529,Stock!$A$2:$B$133,2,0)</f>
        <v>#N/A</v>
      </c>
      <c r="D529" s="95"/>
      <c r="E529" s="98"/>
    </row>
    <row r="530" ht="15.75" customHeight="1">
      <c r="A530" s="95"/>
      <c r="B530" s="108"/>
      <c r="C530" s="97" t="str">
        <f>VLOOKUP(B530,Stock!$A$2:$B$133,2,0)</f>
        <v>#N/A</v>
      </c>
      <c r="D530" s="95"/>
      <c r="E530" s="98"/>
    </row>
    <row r="531" ht="15.75" customHeight="1">
      <c r="A531" s="95"/>
      <c r="B531" s="108"/>
      <c r="C531" s="97" t="str">
        <f>VLOOKUP(B531,Stock!$A$2:$B$133,2,0)</f>
        <v>#N/A</v>
      </c>
      <c r="D531" s="95"/>
      <c r="E531" s="98"/>
    </row>
    <row r="532" ht="15.75" customHeight="1">
      <c r="A532" s="95"/>
      <c r="B532" s="108"/>
      <c r="C532" s="97" t="str">
        <f>VLOOKUP(B532,Stock!$A$2:$B$133,2,0)</f>
        <v>#N/A</v>
      </c>
      <c r="D532" s="95"/>
      <c r="E532" s="98"/>
    </row>
    <row r="533" ht="15.75" customHeight="1">
      <c r="A533" s="95"/>
      <c r="B533" s="108"/>
      <c r="C533" s="97" t="str">
        <f>VLOOKUP(B533,Stock!$A$2:$B$133,2,0)</f>
        <v>#N/A</v>
      </c>
      <c r="D533" s="95"/>
      <c r="E533" s="98"/>
    </row>
    <row r="534" ht="15.75" customHeight="1">
      <c r="A534" s="95"/>
      <c r="B534" s="108"/>
      <c r="C534" s="97" t="str">
        <f>VLOOKUP(B534,Stock!$A$2:$B$133,2,0)</f>
        <v>#N/A</v>
      </c>
      <c r="D534" s="95"/>
      <c r="E534" s="98"/>
    </row>
    <row r="535" ht="15.75" customHeight="1">
      <c r="A535" s="95"/>
      <c r="B535" s="108"/>
      <c r="C535" s="97" t="str">
        <f>VLOOKUP(B535,Stock!$A$2:$B$133,2,0)</f>
        <v>#N/A</v>
      </c>
      <c r="D535" s="95"/>
      <c r="E535" s="98"/>
    </row>
    <row r="536" ht="15.75" customHeight="1">
      <c r="A536" s="95"/>
      <c r="B536" s="108"/>
      <c r="C536" s="97" t="str">
        <f>VLOOKUP(B536,Stock!$A$2:$B$133,2,0)</f>
        <v>#N/A</v>
      </c>
      <c r="D536" s="95"/>
      <c r="E536" s="98"/>
    </row>
    <row r="537" ht="15.75" customHeight="1">
      <c r="A537" s="95"/>
      <c r="B537" s="108"/>
      <c r="C537" s="97" t="str">
        <f>VLOOKUP(B537,Stock!$A$2:$B$133,2,0)</f>
        <v>#N/A</v>
      </c>
      <c r="D537" s="95"/>
      <c r="E537" s="98"/>
    </row>
    <row r="538" ht="15.75" customHeight="1">
      <c r="A538" s="95"/>
      <c r="B538" s="108"/>
      <c r="C538" s="97" t="str">
        <f>VLOOKUP(B538,Stock!$A$2:$B$133,2,0)</f>
        <v>#N/A</v>
      </c>
      <c r="D538" s="95"/>
      <c r="E538" s="98"/>
    </row>
    <row r="539" ht="15.75" customHeight="1">
      <c r="A539" s="95"/>
      <c r="B539" s="108"/>
      <c r="C539" s="97" t="str">
        <f>VLOOKUP(B539,Stock!$A$2:$B$133,2,0)</f>
        <v>#N/A</v>
      </c>
      <c r="D539" s="95"/>
      <c r="E539" s="98"/>
    </row>
    <row r="540" ht="15.75" customHeight="1">
      <c r="A540" s="95"/>
      <c r="B540" s="108"/>
      <c r="C540" s="97" t="str">
        <f>VLOOKUP(B540,Stock!$A$2:$B$133,2,0)</f>
        <v>#N/A</v>
      </c>
      <c r="D540" s="95"/>
      <c r="E540" s="98"/>
    </row>
    <row r="541" ht="15.75" customHeight="1">
      <c r="A541" s="95"/>
      <c r="B541" s="108"/>
      <c r="C541" s="97" t="str">
        <f>VLOOKUP(B541,Stock!$A$2:$B$133,2,0)</f>
        <v>#N/A</v>
      </c>
      <c r="D541" s="95"/>
      <c r="E541" s="98"/>
    </row>
    <row r="542" ht="15.75" customHeight="1">
      <c r="A542" s="95"/>
      <c r="B542" s="108"/>
      <c r="C542" s="97" t="str">
        <f>VLOOKUP(B542,Stock!$A$2:$B$133,2,0)</f>
        <v>#N/A</v>
      </c>
      <c r="D542" s="95"/>
      <c r="E542" s="98"/>
    </row>
    <row r="543" ht="15.75" customHeight="1">
      <c r="A543" s="95"/>
      <c r="B543" s="108"/>
      <c r="C543" s="97" t="str">
        <f>VLOOKUP(B543,Stock!$A$2:$B$133,2,0)</f>
        <v>#N/A</v>
      </c>
      <c r="D543" s="95"/>
      <c r="E543" s="98"/>
    </row>
    <row r="544" ht="15.75" customHeight="1">
      <c r="A544" s="95"/>
      <c r="B544" s="108"/>
      <c r="C544" s="97" t="str">
        <f>VLOOKUP(B544,Stock!$A$2:$B$133,2,0)</f>
        <v>#N/A</v>
      </c>
      <c r="D544" s="95"/>
      <c r="E544" s="98"/>
    </row>
    <row r="545" ht="15.75" customHeight="1">
      <c r="A545" s="95"/>
      <c r="B545" s="108"/>
      <c r="C545" s="97" t="str">
        <f>VLOOKUP(B545,Stock!$A$2:$B$133,2,0)</f>
        <v>#N/A</v>
      </c>
      <c r="D545" s="95"/>
      <c r="E545" s="98"/>
    </row>
    <row r="546" ht="15.75" customHeight="1">
      <c r="A546" s="95"/>
      <c r="B546" s="108"/>
      <c r="C546" s="97" t="str">
        <f>VLOOKUP(B546,Stock!$A$2:$B$133,2,0)</f>
        <v>#N/A</v>
      </c>
      <c r="D546" s="95"/>
      <c r="E546" s="98"/>
    </row>
    <row r="547" ht="15.75" customHeight="1">
      <c r="A547" s="95"/>
      <c r="B547" s="108"/>
      <c r="C547" s="97" t="str">
        <f>VLOOKUP(B547,Stock!$A$2:$B$133,2,0)</f>
        <v>#N/A</v>
      </c>
      <c r="D547" s="95"/>
      <c r="E547" s="98"/>
    </row>
    <row r="548" ht="15.75" customHeight="1">
      <c r="A548" s="95"/>
      <c r="B548" s="108"/>
      <c r="C548" s="97" t="str">
        <f>VLOOKUP(B548,Stock!$A$2:$B$133,2,0)</f>
        <v>#N/A</v>
      </c>
      <c r="D548" s="95"/>
      <c r="E548" s="98"/>
    </row>
    <row r="549" ht="15.75" customHeight="1">
      <c r="A549" s="95"/>
      <c r="B549" s="108"/>
      <c r="C549" s="97" t="str">
        <f>VLOOKUP(B549,Stock!$A$2:$B$133,2,0)</f>
        <v>#N/A</v>
      </c>
      <c r="D549" s="95"/>
      <c r="E549" s="98"/>
    </row>
    <row r="550" ht="15.75" customHeight="1">
      <c r="A550" s="95"/>
      <c r="B550" s="108"/>
      <c r="C550" s="97" t="str">
        <f>VLOOKUP(B550,Stock!$A$2:$B$133,2,0)</f>
        <v>#N/A</v>
      </c>
      <c r="D550" s="95"/>
      <c r="E550" s="98"/>
    </row>
    <row r="551" ht="15.75" customHeight="1">
      <c r="A551" s="95"/>
      <c r="B551" s="108"/>
      <c r="C551" s="97" t="str">
        <f>VLOOKUP(B551,Stock!$A$2:$B$133,2,0)</f>
        <v>#N/A</v>
      </c>
      <c r="D551" s="95"/>
      <c r="E551" s="98"/>
    </row>
    <row r="552" ht="15.75" customHeight="1">
      <c r="A552" s="95"/>
      <c r="B552" s="108"/>
      <c r="C552" s="97" t="str">
        <f>VLOOKUP(B552,Stock!$A$2:$B$133,2,0)</f>
        <v>#N/A</v>
      </c>
      <c r="D552" s="95"/>
      <c r="E552" s="98"/>
    </row>
    <row r="553" ht="15.75" customHeight="1">
      <c r="A553" s="95"/>
      <c r="B553" s="108"/>
      <c r="C553" s="97" t="str">
        <f>VLOOKUP(B553,Stock!$A$2:$B$133,2,0)</f>
        <v>#N/A</v>
      </c>
      <c r="D553" s="95"/>
      <c r="E553" s="98"/>
    </row>
    <row r="554" ht="15.75" customHeight="1">
      <c r="A554" s="95"/>
      <c r="B554" s="108"/>
      <c r="C554" s="97" t="str">
        <f>VLOOKUP(B554,Stock!$A$2:$B$133,2,0)</f>
        <v>#N/A</v>
      </c>
      <c r="D554" s="95"/>
      <c r="E554" s="98"/>
    </row>
    <row r="555" ht="15.75" customHeight="1">
      <c r="A555" s="95"/>
      <c r="B555" s="108"/>
      <c r="C555" s="97" t="str">
        <f>VLOOKUP(B555,Stock!$A$2:$B$133,2,0)</f>
        <v>#N/A</v>
      </c>
      <c r="D555" s="95"/>
      <c r="E555" s="98"/>
    </row>
    <row r="556" ht="15.75" customHeight="1">
      <c r="A556" s="95"/>
      <c r="B556" s="108"/>
      <c r="C556" s="97" t="str">
        <f>VLOOKUP(B556,Stock!$A$2:$B$133,2,0)</f>
        <v>#N/A</v>
      </c>
      <c r="D556" s="95"/>
      <c r="E556" s="98"/>
    </row>
    <row r="557" ht="15.75" customHeight="1">
      <c r="A557" s="95"/>
      <c r="B557" s="108"/>
      <c r="C557" s="97" t="str">
        <f>VLOOKUP(B557,Stock!$A$2:$B$133,2,0)</f>
        <v>#N/A</v>
      </c>
      <c r="D557" s="95"/>
      <c r="E557" s="98"/>
    </row>
    <row r="558" ht="15.75" customHeight="1">
      <c r="A558" s="95"/>
      <c r="B558" s="108"/>
      <c r="C558" s="97" t="str">
        <f>VLOOKUP(B558,Stock!$A$2:$B$133,2,0)</f>
        <v>#N/A</v>
      </c>
      <c r="D558" s="95"/>
      <c r="E558" s="98"/>
    </row>
    <row r="559" ht="15.75" customHeight="1">
      <c r="A559" s="95"/>
      <c r="B559" s="108"/>
      <c r="C559" s="97" t="str">
        <f>VLOOKUP(B559,Stock!$A$2:$B$133,2,0)</f>
        <v>#N/A</v>
      </c>
      <c r="D559" s="95"/>
      <c r="E559" s="98"/>
    </row>
    <row r="560" ht="15.75" customHeight="1">
      <c r="A560" s="95"/>
      <c r="B560" s="108"/>
      <c r="C560" s="97" t="str">
        <f>VLOOKUP(B560,Stock!$A$2:$B$133,2,0)</f>
        <v>#N/A</v>
      </c>
      <c r="D560" s="95"/>
      <c r="E560" s="98"/>
    </row>
    <row r="561" ht="15.75" customHeight="1">
      <c r="A561" s="95"/>
      <c r="B561" s="108"/>
      <c r="C561" s="97" t="str">
        <f>VLOOKUP(B561,Stock!$A$2:$B$133,2,0)</f>
        <v>#N/A</v>
      </c>
      <c r="D561" s="95"/>
      <c r="E561" s="98"/>
    </row>
    <row r="562" ht="15.75" customHeight="1">
      <c r="A562" s="95"/>
      <c r="B562" s="108"/>
      <c r="C562" s="97" t="str">
        <f>VLOOKUP(B562,Stock!$A$2:$B$133,2,0)</f>
        <v>#N/A</v>
      </c>
      <c r="D562" s="95"/>
      <c r="E562" s="98"/>
    </row>
    <row r="563" ht="15.75" customHeight="1">
      <c r="A563" s="95"/>
      <c r="B563" s="108"/>
      <c r="C563" s="97" t="str">
        <f>VLOOKUP(B563,Stock!$A$2:$B$133,2,0)</f>
        <v>#N/A</v>
      </c>
      <c r="D563" s="95"/>
      <c r="E563" s="98"/>
    </row>
    <row r="564" ht="15.75" customHeight="1">
      <c r="A564" s="95"/>
      <c r="B564" s="108"/>
      <c r="C564" s="97" t="str">
        <f>VLOOKUP(B564,Stock!$A$2:$B$133,2,0)</f>
        <v>#N/A</v>
      </c>
      <c r="D564" s="95"/>
      <c r="E564" s="98"/>
    </row>
    <row r="565" ht="15.75" customHeight="1">
      <c r="A565" s="95"/>
      <c r="B565" s="108"/>
      <c r="C565" s="97" t="str">
        <f>VLOOKUP(B565,Stock!$A$2:$B$133,2,0)</f>
        <v>#N/A</v>
      </c>
      <c r="D565" s="95"/>
      <c r="E565" s="98"/>
    </row>
    <row r="566" ht="15.75" customHeight="1">
      <c r="A566" s="95"/>
      <c r="B566" s="108"/>
      <c r="C566" s="97" t="str">
        <f>VLOOKUP(B566,Stock!$A$2:$B$133,2,0)</f>
        <v>#N/A</v>
      </c>
      <c r="D566" s="95"/>
      <c r="E566" s="98"/>
    </row>
    <row r="567" ht="15.75" customHeight="1">
      <c r="A567" s="95"/>
      <c r="B567" s="108"/>
      <c r="C567" s="97" t="str">
        <f>VLOOKUP(B567,Stock!$A$2:$B$133,2,0)</f>
        <v>#N/A</v>
      </c>
      <c r="D567" s="95"/>
      <c r="E567" s="98"/>
    </row>
    <row r="568" ht="15.75" customHeight="1">
      <c r="A568" s="95"/>
      <c r="B568" s="108"/>
      <c r="C568" s="97" t="str">
        <f>VLOOKUP(B568,Stock!$A$2:$B$133,2,0)</f>
        <v>#N/A</v>
      </c>
      <c r="D568" s="95"/>
      <c r="E568" s="98"/>
    </row>
    <row r="569" ht="15.75" customHeight="1">
      <c r="A569" s="95"/>
      <c r="B569" s="108"/>
      <c r="C569" s="97" t="str">
        <f>VLOOKUP(B569,Stock!$A$2:$B$133,2,0)</f>
        <v>#N/A</v>
      </c>
      <c r="D569" s="95"/>
      <c r="E569" s="98"/>
    </row>
    <row r="570" ht="15.75" customHeight="1">
      <c r="A570" s="95"/>
      <c r="B570" s="108"/>
      <c r="C570" s="97" t="str">
        <f>VLOOKUP(B570,Stock!$A$2:$B$133,2,0)</f>
        <v>#N/A</v>
      </c>
      <c r="D570" s="95"/>
      <c r="E570" s="98"/>
    </row>
    <row r="571" ht="15.75" customHeight="1">
      <c r="A571" s="95"/>
      <c r="B571" s="108"/>
      <c r="C571" s="97" t="str">
        <f>VLOOKUP(B571,Stock!$A$2:$B$133,2,0)</f>
        <v>#N/A</v>
      </c>
      <c r="D571" s="95"/>
      <c r="E571" s="98"/>
    </row>
    <row r="572" ht="15.75" customHeight="1">
      <c r="A572" s="95"/>
      <c r="B572" s="108"/>
      <c r="C572" s="97" t="str">
        <f>VLOOKUP(B572,Stock!$A$2:$B$133,2,0)</f>
        <v>#N/A</v>
      </c>
      <c r="D572" s="95"/>
      <c r="E572" s="98"/>
    </row>
    <row r="573" ht="15.75" customHeight="1">
      <c r="A573" s="95"/>
      <c r="B573" s="108"/>
      <c r="C573" s="97" t="str">
        <f>VLOOKUP(B573,Stock!$A$2:$B$133,2,0)</f>
        <v>#N/A</v>
      </c>
      <c r="D573" s="95"/>
      <c r="E573" s="98"/>
    </row>
    <row r="574" ht="15.75" customHeight="1">
      <c r="A574" s="95"/>
      <c r="B574" s="108"/>
      <c r="C574" s="97" t="str">
        <f>VLOOKUP(B574,Stock!$A$2:$B$133,2,0)</f>
        <v>#N/A</v>
      </c>
      <c r="D574" s="95"/>
      <c r="E574" s="98"/>
    </row>
    <row r="575" ht="15.75" customHeight="1">
      <c r="A575" s="95"/>
      <c r="B575" s="108"/>
      <c r="C575" s="97" t="str">
        <f>VLOOKUP(B575,Stock!$A$2:$B$133,2,0)</f>
        <v>#N/A</v>
      </c>
      <c r="D575" s="95"/>
      <c r="E575" s="98"/>
    </row>
    <row r="576" ht="15.75" customHeight="1">
      <c r="A576" s="95"/>
      <c r="B576" s="108"/>
      <c r="C576" s="97" t="str">
        <f>VLOOKUP(B576,Stock!$A$2:$B$133,2,0)</f>
        <v>#N/A</v>
      </c>
      <c r="D576" s="95"/>
      <c r="E576" s="98"/>
    </row>
    <row r="577" ht="15.75" customHeight="1">
      <c r="A577" s="95"/>
      <c r="B577" s="108"/>
      <c r="C577" s="97" t="str">
        <f>VLOOKUP(B577,Stock!$A$2:$B$133,2,0)</f>
        <v>#N/A</v>
      </c>
      <c r="D577" s="95"/>
      <c r="E577" s="98"/>
    </row>
    <row r="578" ht="15.75" customHeight="1">
      <c r="A578" s="95"/>
      <c r="B578" s="108"/>
      <c r="C578" s="97" t="str">
        <f>VLOOKUP(B578,Stock!$A$2:$B$133,2,0)</f>
        <v>#N/A</v>
      </c>
      <c r="D578" s="95"/>
      <c r="E578" s="98"/>
    </row>
    <row r="579" ht="15.75" customHeight="1">
      <c r="A579" s="95"/>
      <c r="B579" s="108"/>
      <c r="C579" s="97" t="str">
        <f>VLOOKUP(B579,Stock!$A$2:$B$133,2,0)</f>
        <v>#N/A</v>
      </c>
      <c r="D579" s="95"/>
      <c r="E579" s="98"/>
    </row>
    <row r="580" ht="15.75" customHeight="1">
      <c r="A580" s="95"/>
      <c r="B580" s="108"/>
      <c r="C580" s="97" t="str">
        <f>VLOOKUP(B580,Stock!$A$2:$B$133,2,0)</f>
        <v>#N/A</v>
      </c>
      <c r="D580" s="95"/>
      <c r="E580" s="98"/>
    </row>
    <row r="581" ht="15.75" customHeight="1">
      <c r="A581" s="95"/>
      <c r="B581" s="108"/>
      <c r="C581" s="97" t="str">
        <f>VLOOKUP(B581,Stock!$A$2:$B$133,2,0)</f>
        <v>#N/A</v>
      </c>
      <c r="D581" s="95"/>
      <c r="E581" s="98"/>
    </row>
    <row r="582" ht="15.75" customHeight="1">
      <c r="A582" s="95"/>
      <c r="B582" s="108"/>
      <c r="C582" s="97" t="str">
        <f>VLOOKUP(B582,Stock!$A$2:$B$133,2,0)</f>
        <v>#N/A</v>
      </c>
      <c r="D582" s="95"/>
      <c r="E582" s="98"/>
    </row>
    <row r="583" ht="15.75" customHeight="1">
      <c r="A583" s="95"/>
      <c r="B583" s="108"/>
      <c r="C583" s="97" t="str">
        <f>VLOOKUP(B583,Stock!$A$2:$B$133,2,0)</f>
        <v>#N/A</v>
      </c>
      <c r="D583" s="95"/>
      <c r="E583" s="98"/>
    </row>
    <row r="584" ht="15.75" customHeight="1">
      <c r="A584" s="95"/>
      <c r="B584" s="108"/>
      <c r="C584" s="97" t="str">
        <f>VLOOKUP(B584,Stock!$A$2:$B$133,2,0)</f>
        <v>#N/A</v>
      </c>
      <c r="D584" s="95"/>
      <c r="E584" s="98"/>
    </row>
    <row r="585" ht="15.75" customHeight="1">
      <c r="A585" s="95"/>
      <c r="B585" s="108"/>
      <c r="C585" s="97" t="str">
        <f>VLOOKUP(B585,Stock!$A$2:$B$133,2,0)</f>
        <v>#N/A</v>
      </c>
      <c r="D585" s="95"/>
      <c r="E585" s="98"/>
    </row>
    <row r="586" ht="15.75" customHeight="1">
      <c r="A586" s="95"/>
      <c r="B586" s="108"/>
      <c r="C586" s="97" t="str">
        <f>VLOOKUP(B586,Stock!$A$2:$B$133,2,0)</f>
        <v>#N/A</v>
      </c>
      <c r="D586" s="95"/>
      <c r="E586" s="98"/>
    </row>
    <row r="587" ht="15.75" customHeight="1">
      <c r="A587" s="95"/>
      <c r="B587" s="108"/>
      <c r="C587" s="97" t="str">
        <f>VLOOKUP(B587,Stock!$A$2:$B$133,2,0)</f>
        <v>#N/A</v>
      </c>
      <c r="D587" s="95"/>
      <c r="E587" s="98"/>
    </row>
    <row r="588" ht="15.75" customHeight="1">
      <c r="A588" s="95"/>
      <c r="B588" s="108"/>
      <c r="C588" s="97" t="str">
        <f>VLOOKUP(B588,Stock!$A$2:$B$133,2,0)</f>
        <v>#N/A</v>
      </c>
      <c r="D588" s="95"/>
      <c r="E588" s="98"/>
    </row>
    <row r="589" ht="15.75" customHeight="1">
      <c r="A589" s="95"/>
      <c r="B589" s="108"/>
      <c r="C589" s="97" t="str">
        <f>VLOOKUP(B589,Stock!$A$2:$B$133,2,0)</f>
        <v>#N/A</v>
      </c>
      <c r="D589" s="95"/>
      <c r="E589" s="98"/>
    </row>
    <row r="590" ht="15.75" customHeight="1">
      <c r="A590" s="95"/>
      <c r="B590" s="108"/>
      <c r="C590" s="97" t="str">
        <f>VLOOKUP(B590,Stock!$A$2:$B$133,2,0)</f>
        <v>#N/A</v>
      </c>
      <c r="D590" s="95"/>
      <c r="E590" s="98"/>
    </row>
    <row r="591" ht="15.75" customHeight="1">
      <c r="A591" s="95"/>
      <c r="B591" s="108"/>
      <c r="C591" s="97" t="str">
        <f>VLOOKUP(B591,Stock!$A$2:$B$133,2,0)</f>
        <v>#N/A</v>
      </c>
      <c r="D591" s="95"/>
      <c r="E591" s="98"/>
    </row>
    <row r="592" ht="15.75" customHeight="1">
      <c r="A592" s="95"/>
      <c r="B592" s="108"/>
      <c r="C592" s="97" t="str">
        <f>VLOOKUP(B592,Stock!$A$2:$B$133,2,0)</f>
        <v>#N/A</v>
      </c>
      <c r="D592" s="95"/>
      <c r="E592" s="98"/>
    </row>
    <row r="593" ht="15.75" customHeight="1">
      <c r="A593" s="95"/>
      <c r="B593" s="108"/>
      <c r="C593" s="97" t="str">
        <f>VLOOKUP(B593,Stock!$A$2:$B$133,2,0)</f>
        <v>#N/A</v>
      </c>
      <c r="D593" s="95"/>
      <c r="E593" s="98"/>
    </row>
    <row r="594" ht="15.75" customHeight="1">
      <c r="A594" s="95"/>
      <c r="B594" s="108"/>
      <c r="C594" s="97" t="str">
        <f>VLOOKUP(B594,Stock!$A$2:$B$133,2,0)</f>
        <v>#N/A</v>
      </c>
      <c r="D594" s="95"/>
      <c r="E594" s="98"/>
    </row>
    <row r="595" ht="15.75" customHeight="1">
      <c r="A595" s="95"/>
      <c r="B595" s="108"/>
      <c r="C595" s="97" t="str">
        <f>VLOOKUP(B595,Stock!$A$2:$B$133,2,0)</f>
        <v>#N/A</v>
      </c>
      <c r="D595" s="95"/>
      <c r="E595" s="98"/>
    </row>
    <row r="596" ht="15.75" customHeight="1">
      <c r="A596" s="95"/>
      <c r="B596" s="108"/>
      <c r="C596" s="97" t="str">
        <f>VLOOKUP(B596,Stock!$A$2:$B$133,2,0)</f>
        <v>#N/A</v>
      </c>
      <c r="D596" s="95"/>
      <c r="E596" s="98"/>
    </row>
    <row r="597" ht="15.75" customHeight="1">
      <c r="A597" s="95"/>
      <c r="B597" s="108"/>
      <c r="C597" s="97" t="str">
        <f>VLOOKUP(B597,Stock!$A$2:$B$133,2,0)</f>
        <v>#N/A</v>
      </c>
      <c r="D597" s="95"/>
      <c r="E597" s="98"/>
    </row>
    <row r="598" ht="15.75" customHeight="1">
      <c r="A598" s="95"/>
      <c r="B598" s="108"/>
      <c r="C598" s="97" t="str">
        <f>VLOOKUP(B598,Stock!$A$2:$B$133,2,0)</f>
        <v>#N/A</v>
      </c>
      <c r="D598" s="95"/>
      <c r="E598" s="98"/>
    </row>
    <row r="599" ht="15.75" customHeight="1">
      <c r="A599" s="95"/>
      <c r="B599" s="108"/>
      <c r="C599" s="97" t="str">
        <f>VLOOKUP(B599,Stock!$A$2:$B$133,2,0)</f>
        <v>#N/A</v>
      </c>
      <c r="D599" s="95"/>
      <c r="E599" s="98"/>
    </row>
    <row r="600" ht="15.75" customHeight="1">
      <c r="A600" s="95"/>
      <c r="B600" s="108"/>
      <c r="C600" s="97" t="str">
        <f>VLOOKUP(B600,Stock!$A$2:$B$133,2,0)</f>
        <v>#N/A</v>
      </c>
      <c r="D600" s="95"/>
      <c r="E600" s="98"/>
    </row>
    <row r="601" ht="15.75" customHeight="1">
      <c r="A601" s="95"/>
      <c r="B601" s="108"/>
      <c r="C601" s="97" t="str">
        <f>VLOOKUP(B601,Stock!$A$2:$B$133,2,0)</f>
        <v>#N/A</v>
      </c>
      <c r="D601" s="95"/>
      <c r="E601" s="98"/>
    </row>
    <row r="602" ht="15.75" customHeight="1">
      <c r="A602" s="95"/>
      <c r="B602" s="108"/>
      <c r="C602" s="97" t="str">
        <f>VLOOKUP(B602,Stock!$A$2:$B$133,2,0)</f>
        <v>#N/A</v>
      </c>
      <c r="D602" s="95"/>
      <c r="E602" s="98"/>
    </row>
    <row r="603" ht="15.75" customHeight="1">
      <c r="A603" s="95"/>
      <c r="B603" s="108"/>
      <c r="C603" s="97" t="str">
        <f>VLOOKUP(B603,Stock!$A$2:$B$133,2,0)</f>
        <v>#N/A</v>
      </c>
      <c r="D603" s="95"/>
      <c r="E603" s="98"/>
    </row>
    <row r="604" ht="15.75" customHeight="1">
      <c r="A604" s="95"/>
      <c r="B604" s="108"/>
      <c r="C604" s="97" t="str">
        <f>VLOOKUP(B604,Stock!$A$2:$B$133,2,0)</f>
        <v>#N/A</v>
      </c>
      <c r="D604" s="95"/>
      <c r="E604" s="98"/>
    </row>
    <row r="605" ht="15.75" customHeight="1">
      <c r="A605" s="95"/>
      <c r="B605" s="108"/>
      <c r="C605" s="97" t="str">
        <f>VLOOKUP(B605,Stock!$A$2:$B$133,2,0)</f>
        <v>#N/A</v>
      </c>
      <c r="D605" s="95"/>
      <c r="E605" s="98"/>
    </row>
    <row r="606" ht="15.75" customHeight="1">
      <c r="A606" s="95"/>
      <c r="B606" s="108"/>
      <c r="C606" s="97" t="str">
        <f>VLOOKUP(B606,Stock!$A$2:$B$133,2,0)</f>
        <v>#N/A</v>
      </c>
      <c r="D606" s="95"/>
      <c r="E606" s="98"/>
    </row>
    <row r="607" ht="15.75" customHeight="1">
      <c r="A607" s="95"/>
      <c r="B607" s="108"/>
      <c r="C607" s="97" t="str">
        <f>VLOOKUP(B607,Stock!$A$2:$B$133,2,0)</f>
        <v>#N/A</v>
      </c>
      <c r="D607" s="95"/>
      <c r="E607" s="98"/>
    </row>
    <row r="608" ht="15.75" customHeight="1">
      <c r="A608" s="95"/>
      <c r="B608" s="108"/>
      <c r="C608" s="97" t="str">
        <f>VLOOKUP(B608,Stock!$A$2:$B$133,2,0)</f>
        <v>#N/A</v>
      </c>
      <c r="D608" s="95"/>
      <c r="E608" s="98"/>
    </row>
    <row r="609" ht="15.75" customHeight="1">
      <c r="A609" s="95"/>
      <c r="B609" s="108"/>
      <c r="C609" s="97" t="str">
        <f>VLOOKUP(B609,Stock!$A$2:$B$133,2,0)</f>
        <v>#N/A</v>
      </c>
      <c r="D609" s="95"/>
      <c r="E609" s="98"/>
    </row>
    <row r="610" ht="15.75" customHeight="1">
      <c r="A610" s="95"/>
      <c r="B610" s="108"/>
      <c r="C610" s="97" t="str">
        <f>VLOOKUP(B610,Stock!$A$2:$B$133,2,0)</f>
        <v>#N/A</v>
      </c>
      <c r="D610" s="95"/>
      <c r="E610" s="98"/>
    </row>
    <row r="611" ht="15.75" customHeight="1">
      <c r="A611" s="95"/>
      <c r="B611" s="108"/>
      <c r="C611" s="97" t="str">
        <f>VLOOKUP(B611,Stock!$A$2:$B$133,2,0)</f>
        <v>#N/A</v>
      </c>
      <c r="D611" s="95"/>
      <c r="E611" s="98"/>
    </row>
    <row r="612" ht="15.75" customHeight="1">
      <c r="A612" s="95"/>
      <c r="B612" s="108"/>
      <c r="C612" s="97" t="str">
        <f>VLOOKUP(B612,Stock!$A$2:$B$133,2,0)</f>
        <v>#N/A</v>
      </c>
      <c r="D612" s="95"/>
      <c r="E612" s="98"/>
    </row>
    <row r="613" ht="15.75" customHeight="1">
      <c r="A613" s="95"/>
      <c r="B613" s="108"/>
      <c r="C613" s="97" t="str">
        <f>VLOOKUP(B613,Stock!$A$2:$B$133,2,0)</f>
        <v>#N/A</v>
      </c>
      <c r="D613" s="95"/>
      <c r="E613" s="98"/>
    </row>
    <row r="614" ht="15.75" customHeight="1">
      <c r="A614" s="95"/>
      <c r="B614" s="108"/>
      <c r="C614" s="97" t="str">
        <f>VLOOKUP(B614,Stock!$A$2:$B$133,2,0)</f>
        <v>#N/A</v>
      </c>
      <c r="D614" s="95"/>
      <c r="E614" s="98"/>
    </row>
    <row r="615" ht="15.75" customHeight="1">
      <c r="A615" s="95"/>
      <c r="B615" s="108"/>
      <c r="C615" s="97" t="str">
        <f>VLOOKUP(B615,Stock!$A$2:$B$133,2,0)</f>
        <v>#N/A</v>
      </c>
      <c r="D615" s="95"/>
      <c r="E615" s="98"/>
    </row>
    <row r="616" ht="15.75" customHeight="1">
      <c r="A616" s="95"/>
      <c r="B616" s="108"/>
      <c r="C616" s="97" t="str">
        <f>VLOOKUP(B616,Stock!$A$2:$B$133,2,0)</f>
        <v>#N/A</v>
      </c>
      <c r="D616" s="95"/>
      <c r="E616" s="98"/>
    </row>
    <row r="617" ht="15.75" customHeight="1">
      <c r="A617" s="95"/>
      <c r="B617" s="108"/>
      <c r="C617" s="97" t="str">
        <f>VLOOKUP(B617,Stock!$A$2:$B$133,2,0)</f>
        <v>#N/A</v>
      </c>
      <c r="D617" s="95"/>
      <c r="E617" s="98"/>
    </row>
    <row r="618" ht="15.75" customHeight="1">
      <c r="A618" s="95"/>
      <c r="B618" s="108"/>
      <c r="C618" s="97" t="str">
        <f>VLOOKUP(B618,Stock!$A$2:$B$133,2,0)</f>
        <v>#N/A</v>
      </c>
      <c r="D618" s="95"/>
      <c r="E618" s="98"/>
    </row>
    <row r="619" ht="15.75" customHeight="1">
      <c r="A619" s="95"/>
      <c r="B619" s="108"/>
      <c r="C619" s="97" t="str">
        <f>VLOOKUP(B619,Stock!$A$2:$B$133,2,0)</f>
        <v>#N/A</v>
      </c>
      <c r="D619" s="95"/>
      <c r="E619" s="98"/>
    </row>
    <row r="620" ht="15.75" customHeight="1">
      <c r="A620" s="95"/>
      <c r="B620" s="108"/>
      <c r="C620" s="97" t="str">
        <f>VLOOKUP(B620,Stock!$A$2:$B$133,2,0)</f>
        <v>#N/A</v>
      </c>
      <c r="D620" s="95"/>
      <c r="E620" s="98"/>
    </row>
    <row r="621" ht="15.75" customHeight="1">
      <c r="A621" s="95"/>
      <c r="B621" s="108"/>
      <c r="C621" s="97" t="str">
        <f>VLOOKUP(B621,Stock!$A$2:$B$133,2,0)</f>
        <v>#N/A</v>
      </c>
      <c r="D621" s="95"/>
      <c r="E621" s="98"/>
    </row>
    <row r="622" ht="15.75" customHeight="1">
      <c r="A622" s="95"/>
      <c r="B622" s="108"/>
      <c r="C622" s="97" t="str">
        <f>VLOOKUP(B622,Stock!$A$2:$B$133,2,0)</f>
        <v>#N/A</v>
      </c>
      <c r="D622" s="95"/>
      <c r="E622" s="98"/>
    </row>
    <row r="623" ht="15.75" customHeight="1">
      <c r="A623" s="95"/>
      <c r="B623" s="108"/>
      <c r="C623" s="97" t="str">
        <f>VLOOKUP(B623,Stock!$A$2:$B$133,2,0)</f>
        <v>#N/A</v>
      </c>
      <c r="D623" s="95"/>
      <c r="E623" s="98"/>
    </row>
    <row r="624" ht="15.75" customHeight="1">
      <c r="A624" s="95"/>
      <c r="B624" s="108"/>
      <c r="C624" s="97" t="str">
        <f>VLOOKUP(B624,Stock!$A$2:$B$133,2,0)</f>
        <v>#N/A</v>
      </c>
      <c r="D624" s="95"/>
      <c r="E624" s="98"/>
    </row>
    <row r="625" ht="15.75" customHeight="1">
      <c r="A625" s="95"/>
      <c r="B625" s="108"/>
      <c r="C625" s="97" t="str">
        <f>VLOOKUP(B625,Stock!$A$2:$B$133,2,0)</f>
        <v>#N/A</v>
      </c>
      <c r="D625" s="95"/>
      <c r="E625" s="98"/>
    </row>
    <row r="626" ht="15.75" customHeight="1">
      <c r="A626" s="95"/>
      <c r="B626" s="108"/>
      <c r="C626" s="97" t="str">
        <f>VLOOKUP(B626,Stock!$A$2:$B$133,2,0)</f>
        <v>#N/A</v>
      </c>
      <c r="D626" s="95"/>
      <c r="E626" s="98"/>
    </row>
    <row r="627" ht="15.75" customHeight="1">
      <c r="A627" s="95"/>
      <c r="B627" s="108"/>
      <c r="C627" s="97" t="str">
        <f>VLOOKUP(B627,Stock!$A$2:$B$133,2,0)</f>
        <v>#N/A</v>
      </c>
      <c r="D627" s="95"/>
      <c r="E627" s="98"/>
    </row>
    <row r="628" ht="15.75" customHeight="1">
      <c r="A628" s="95"/>
      <c r="B628" s="108"/>
      <c r="C628" s="97" t="str">
        <f>VLOOKUP(B628,Stock!$A$2:$B$133,2,0)</f>
        <v>#N/A</v>
      </c>
      <c r="D628" s="95"/>
      <c r="E628" s="98"/>
    </row>
    <row r="629" ht="15.75" customHeight="1">
      <c r="A629" s="95"/>
      <c r="B629" s="108"/>
      <c r="C629" s="97" t="str">
        <f>VLOOKUP(B629,Stock!$A$2:$B$133,2,0)</f>
        <v>#N/A</v>
      </c>
      <c r="D629" s="95"/>
      <c r="E629" s="98"/>
    </row>
    <row r="630" ht="15.75" customHeight="1">
      <c r="A630" s="95"/>
      <c r="B630" s="108"/>
      <c r="C630" s="97" t="str">
        <f>VLOOKUP(B630,Stock!$A$2:$B$133,2,0)</f>
        <v>#N/A</v>
      </c>
      <c r="D630" s="95"/>
      <c r="E630" s="98"/>
    </row>
    <row r="631" ht="15.75" customHeight="1">
      <c r="A631" s="95"/>
      <c r="B631" s="108"/>
      <c r="C631" s="97" t="str">
        <f>VLOOKUP(B631,Stock!$A$2:$B$133,2,0)</f>
        <v>#N/A</v>
      </c>
      <c r="D631" s="95"/>
      <c r="E631" s="98"/>
    </row>
    <row r="632" ht="15.75" customHeight="1">
      <c r="A632" s="95"/>
      <c r="B632" s="108"/>
      <c r="C632" s="97" t="str">
        <f>VLOOKUP(B632,Stock!$A$2:$B$133,2,0)</f>
        <v>#N/A</v>
      </c>
      <c r="D632" s="95"/>
      <c r="E632" s="98"/>
    </row>
    <row r="633" ht="15.75" customHeight="1">
      <c r="A633" s="95"/>
      <c r="B633" s="108"/>
      <c r="C633" s="97" t="str">
        <f>VLOOKUP(B633,Stock!$A$2:$B$133,2,0)</f>
        <v>#N/A</v>
      </c>
      <c r="D633" s="95"/>
      <c r="E633" s="98"/>
    </row>
    <row r="634" ht="15.75" customHeight="1">
      <c r="A634" s="95"/>
      <c r="B634" s="108"/>
      <c r="C634" s="97" t="str">
        <f>VLOOKUP(B634,Stock!$A$2:$B$133,2,0)</f>
        <v>#N/A</v>
      </c>
      <c r="D634" s="95"/>
      <c r="E634" s="98"/>
    </row>
    <row r="635" ht="15.75" customHeight="1">
      <c r="A635" s="95"/>
      <c r="B635" s="108"/>
      <c r="C635" s="97" t="str">
        <f>VLOOKUP(B635,Stock!$A$2:$B$133,2,0)</f>
        <v>#N/A</v>
      </c>
      <c r="D635" s="95"/>
      <c r="E635" s="98"/>
    </row>
    <row r="636" ht="15.75" customHeight="1">
      <c r="A636" s="95"/>
      <c r="B636" s="108"/>
      <c r="C636" s="97" t="str">
        <f>VLOOKUP(B636,Stock!$A$2:$B$133,2,0)</f>
        <v>#N/A</v>
      </c>
      <c r="D636" s="95"/>
      <c r="E636" s="98"/>
    </row>
    <row r="637" ht="15.75" customHeight="1">
      <c r="A637" s="95"/>
      <c r="B637" s="108"/>
      <c r="C637" s="97" t="str">
        <f>VLOOKUP(B637,Stock!$A$2:$B$133,2,0)</f>
        <v>#N/A</v>
      </c>
      <c r="D637" s="95"/>
      <c r="E637" s="98"/>
    </row>
    <row r="638" ht="15.75" customHeight="1">
      <c r="A638" s="95"/>
      <c r="B638" s="108"/>
      <c r="C638" s="97" t="str">
        <f>VLOOKUP(B638,Stock!$A$2:$B$133,2,0)</f>
        <v>#N/A</v>
      </c>
      <c r="D638" s="95"/>
      <c r="E638" s="98"/>
    </row>
    <row r="639" ht="15.75" customHeight="1">
      <c r="A639" s="95"/>
      <c r="B639" s="108"/>
      <c r="C639" s="97" t="str">
        <f>VLOOKUP(B639,Stock!$A$2:$B$133,2,0)</f>
        <v>#N/A</v>
      </c>
      <c r="D639" s="95"/>
      <c r="E639" s="98"/>
    </row>
    <row r="640" ht="15.75" customHeight="1">
      <c r="A640" s="95"/>
      <c r="B640" s="108"/>
      <c r="C640" s="97" t="str">
        <f>VLOOKUP(B640,Stock!$A$2:$B$133,2,0)</f>
        <v>#N/A</v>
      </c>
      <c r="D640" s="95"/>
      <c r="E640" s="98"/>
    </row>
    <row r="641" ht="15.75" customHeight="1">
      <c r="A641" s="95"/>
      <c r="B641" s="108"/>
      <c r="C641" s="97" t="str">
        <f>VLOOKUP(B641,Stock!$A$2:$B$133,2,0)</f>
        <v>#N/A</v>
      </c>
      <c r="D641" s="95"/>
      <c r="E641" s="98"/>
    </row>
    <row r="642" ht="15.75" customHeight="1">
      <c r="A642" s="95"/>
      <c r="B642" s="108"/>
      <c r="C642" s="97" t="str">
        <f>VLOOKUP(B642,Stock!$A$2:$B$133,2,0)</f>
        <v>#N/A</v>
      </c>
      <c r="D642" s="95"/>
      <c r="E642" s="98"/>
    </row>
    <row r="643" ht="15.75" customHeight="1">
      <c r="A643" s="95"/>
      <c r="B643" s="108"/>
      <c r="C643" s="97" t="str">
        <f>VLOOKUP(B643,Stock!$A$2:$B$133,2,0)</f>
        <v>#N/A</v>
      </c>
      <c r="D643" s="95"/>
      <c r="E643" s="98"/>
    </row>
    <row r="644" ht="15.75" customHeight="1">
      <c r="A644" s="95"/>
      <c r="B644" s="108"/>
      <c r="C644" s="97" t="str">
        <f>VLOOKUP(B644,Stock!$A$2:$B$133,2,0)</f>
        <v>#N/A</v>
      </c>
      <c r="D644" s="95"/>
      <c r="E644" s="98"/>
    </row>
    <row r="645" ht="15.75" customHeight="1">
      <c r="A645" s="95"/>
      <c r="B645" s="108"/>
      <c r="C645" s="97" t="str">
        <f>VLOOKUP(B645,Stock!$A$2:$B$133,2,0)</f>
        <v>#N/A</v>
      </c>
      <c r="D645" s="95"/>
      <c r="E645" s="98"/>
    </row>
    <row r="646" ht="15.75" customHeight="1">
      <c r="A646" s="95"/>
      <c r="B646" s="108"/>
      <c r="C646" s="97" t="str">
        <f>VLOOKUP(B646,Stock!$A$2:$B$133,2,0)</f>
        <v>#N/A</v>
      </c>
      <c r="D646" s="95"/>
      <c r="E646" s="98"/>
    </row>
    <row r="647" ht="15.75" customHeight="1">
      <c r="A647" s="95"/>
      <c r="B647" s="108"/>
      <c r="C647" s="97" t="str">
        <f>VLOOKUP(B647,Stock!$A$2:$B$133,2,0)</f>
        <v>#N/A</v>
      </c>
      <c r="D647" s="95"/>
      <c r="E647" s="98"/>
    </row>
    <row r="648" ht="15.75" customHeight="1">
      <c r="A648" s="95"/>
      <c r="B648" s="108"/>
      <c r="C648" s="97" t="str">
        <f>VLOOKUP(B648,Stock!$A$2:$B$133,2,0)</f>
        <v>#N/A</v>
      </c>
      <c r="D648" s="95"/>
      <c r="E648" s="98"/>
    </row>
    <row r="649" ht="15.75" customHeight="1">
      <c r="A649" s="95"/>
      <c r="B649" s="108"/>
      <c r="C649" s="97" t="str">
        <f>VLOOKUP(B649,Stock!$A$2:$B$133,2,0)</f>
        <v>#N/A</v>
      </c>
      <c r="D649" s="95"/>
      <c r="E649" s="98"/>
    </row>
    <row r="650" ht="15.75" customHeight="1">
      <c r="A650" s="95"/>
      <c r="B650" s="108"/>
      <c r="C650" s="97" t="str">
        <f>VLOOKUP(B650,Stock!$A$2:$B$133,2,0)</f>
        <v>#N/A</v>
      </c>
      <c r="D650" s="95"/>
      <c r="E650" s="98"/>
    </row>
    <row r="651" ht="15.75" customHeight="1">
      <c r="A651" s="95"/>
      <c r="B651" s="108"/>
      <c r="C651" s="97" t="str">
        <f>VLOOKUP(B651,Stock!$A$2:$B$133,2,0)</f>
        <v>#N/A</v>
      </c>
      <c r="D651" s="95"/>
      <c r="E651" s="98"/>
    </row>
    <row r="652" ht="15.75" customHeight="1">
      <c r="A652" s="95"/>
      <c r="B652" s="108"/>
      <c r="C652" s="97" t="str">
        <f>VLOOKUP(B652,Stock!$A$2:$B$133,2,0)</f>
        <v>#N/A</v>
      </c>
      <c r="D652" s="95"/>
      <c r="E652" s="98"/>
    </row>
    <row r="653" ht="15.75" customHeight="1">
      <c r="A653" s="95"/>
      <c r="B653" s="108"/>
      <c r="C653" s="97" t="str">
        <f>VLOOKUP(B653,Stock!$A$2:$B$133,2,0)</f>
        <v>#N/A</v>
      </c>
      <c r="D653" s="95"/>
      <c r="E653" s="98"/>
    </row>
    <row r="654" ht="15.75" customHeight="1">
      <c r="A654" s="95"/>
      <c r="B654" s="108"/>
      <c r="C654" s="97" t="str">
        <f>VLOOKUP(B654,Stock!$A$2:$B$133,2,0)</f>
        <v>#N/A</v>
      </c>
      <c r="D654" s="95"/>
      <c r="E654" s="98"/>
    </row>
    <row r="655" ht="15.75" customHeight="1">
      <c r="A655" s="95"/>
      <c r="B655" s="108"/>
      <c r="C655" s="97" t="str">
        <f>VLOOKUP(B655,Stock!$A$2:$B$133,2,0)</f>
        <v>#N/A</v>
      </c>
      <c r="D655" s="95"/>
      <c r="E655" s="98"/>
    </row>
    <row r="656" ht="15.75" customHeight="1">
      <c r="A656" s="95"/>
      <c r="B656" s="108"/>
      <c r="C656" s="97" t="str">
        <f>VLOOKUP(B656,Stock!$A$2:$B$133,2,0)</f>
        <v>#N/A</v>
      </c>
      <c r="D656" s="95"/>
      <c r="E656" s="98"/>
    </row>
    <row r="657" ht="15.75" customHeight="1">
      <c r="A657" s="95"/>
      <c r="B657" s="108"/>
      <c r="C657" s="97" t="str">
        <f>VLOOKUP(B657,Stock!$A$2:$B$133,2,0)</f>
        <v>#N/A</v>
      </c>
      <c r="D657" s="95"/>
      <c r="E657" s="98"/>
    </row>
    <row r="658" ht="15.75" customHeight="1">
      <c r="A658" s="95"/>
      <c r="B658" s="108"/>
      <c r="C658" s="97" t="str">
        <f>VLOOKUP(B658,Stock!$A$2:$B$133,2,0)</f>
        <v>#N/A</v>
      </c>
      <c r="D658" s="95"/>
      <c r="E658" s="98"/>
    </row>
    <row r="659" ht="15.75" customHeight="1">
      <c r="A659" s="95"/>
      <c r="B659" s="108"/>
      <c r="C659" s="97" t="str">
        <f>VLOOKUP(B659,Stock!$A$2:$B$133,2,0)</f>
        <v>#N/A</v>
      </c>
      <c r="D659" s="95"/>
      <c r="E659" s="98"/>
    </row>
    <row r="660" ht="15.75" customHeight="1">
      <c r="A660" s="95"/>
      <c r="B660" s="108"/>
      <c r="C660" s="97" t="str">
        <f>VLOOKUP(B660,Stock!$A$2:$B$133,2,0)</f>
        <v>#N/A</v>
      </c>
      <c r="D660" s="95"/>
      <c r="E660" s="98"/>
    </row>
    <row r="661" ht="15.75" customHeight="1">
      <c r="A661" s="95"/>
      <c r="B661" s="108"/>
      <c r="C661" s="97" t="str">
        <f>VLOOKUP(B661,Stock!$A$2:$B$133,2,0)</f>
        <v>#N/A</v>
      </c>
      <c r="D661" s="95"/>
      <c r="E661" s="98"/>
    </row>
    <row r="662" ht="15.75" customHeight="1">
      <c r="A662" s="95"/>
      <c r="B662" s="108"/>
      <c r="C662" s="97" t="str">
        <f>VLOOKUP(B662,Stock!$A$2:$B$133,2,0)</f>
        <v>#N/A</v>
      </c>
      <c r="D662" s="95"/>
      <c r="E662" s="98"/>
    </row>
    <row r="663" ht="15.75" customHeight="1">
      <c r="A663" s="95"/>
      <c r="B663" s="108"/>
      <c r="C663" s="97" t="str">
        <f>VLOOKUP(B663,Stock!$A$2:$B$133,2,0)</f>
        <v>#N/A</v>
      </c>
      <c r="D663" s="95"/>
      <c r="E663" s="98"/>
    </row>
    <row r="664" ht="15.75" customHeight="1">
      <c r="A664" s="95"/>
      <c r="B664" s="108"/>
      <c r="C664" s="97" t="str">
        <f>VLOOKUP(B664,Stock!$A$2:$B$133,2,0)</f>
        <v>#N/A</v>
      </c>
      <c r="D664" s="95"/>
      <c r="E664" s="98"/>
    </row>
    <row r="665" ht="15.75" customHeight="1">
      <c r="A665" s="95"/>
      <c r="B665" s="108"/>
      <c r="C665" s="97" t="str">
        <f>VLOOKUP(B665,Stock!$A$2:$B$133,2,0)</f>
        <v>#N/A</v>
      </c>
      <c r="D665" s="95"/>
      <c r="E665" s="98"/>
    </row>
    <row r="666" ht="15.75" customHeight="1">
      <c r="A666" s="95"/>
      <c r="B666" s="108"/>
      <c r="C666" s="97" t="str">
        <f>VLOOKUP(B666,Stock!$A$2:$B$133,2,0)</f>
        <v>#N/A</v>
      </c>
      <c r="D666" s="95"/>
      <c r="E666" s="98"/>
    </row>
    <row r="667" ht="15.75" customHeight="1">
      <c r="A667" s="95"/>
      <c r="B667" s="108"/>
      <c r="C667" s="97" t="str">
        <f>VLOOKUP(B667,Stock!$A$2:$B$133,2,0)</f>
        <v>#N/A</v>
      </c>
      <c r="D667" s="95"/>
      <c r="E667" s="98"/>
    </row>
    <row r="668" ht="15.75" customHeight="1">
      <c r="A668" s="95"/>
      <c r="B668" s="108"/>
      <c r="C668" s="97" t="str">
        <f>VLOOKUP(B668,Stock!$A$2:$B$133,2,0)</f>
        <v>#N/A</v>
      </c>
      <c r="D668" s="95"/>
      <c r="E668" s="98"/>
    </row>
    <row r="669" ht="15.75" customHeight="1">
      <c r="A669" s="95"/>
      <c r="B669" s="108"/>
      <c r="C669" s="97" t="str">
        <f>VLOOKUP(B669,Stock!$A$2:$B$133,2,0)</f>
        <v>#N/A</v>
      </c>
      <c r="D669" s="95"/>
      <c r="E669" s="98"/>
    </row>
    <row r="670" ht="15.75" customHeight="1">
      <c r="A670" s="95"/>
      <c r="B670" s="108"/>
      <c r="C670" s="97" t="str">
        <f>VLOOKUP(B670,Stock!$A$2:$B$133,2,0)</f>
        <v>#N/A</v>
      </c>
      <c r="D670" s="95"/>
      <c r="E670" s="98"/>
    </row>
    <row r="671" ht="15.75" customHeight="1">
      <c r="A671" s="95"/>
      <c r="B671" s="108"/>
      <c r="C671" s="97" t="str">
        <f>VLOOKUP(B671,Stock!$A$2:$B$133,2,0)</f>
        <v>#N/A</v>
      </c>
      <c r="D671" s="95"/>
      <c r="E671" s="98"/>
    </row>
    <row r="672" ht="15.75" customHeight="1">
      <c r="A672" s="95"/>
      <c r="B672" s="108"/>
      <c r="C672" s="97" t="str">
        <f>VLOOKUP(B672,Stock!$A$2:$B$133,2,0)</f>
        <v>#N/A</v>
      </c>
      <c r="D672" s="95"/>
      <c r="E672" s="98"/>
    </row>
    <row r="673" ht="15.75" customHeight="1">
      <c r="A673" s="95"/>
      <c r="B673" s="108"/>
      <c r="C673" s="97" t="str">
        <f>VLOOKUP(B673,Stock!$A$2:$B$133,2,0)</f>
        <v>#N/A</v>
      </c>
      <c r="D673" s="95"/>
      <c r="E673" s="98"/>
    </row>
    <row r="674" ht="15.75" customHeight="1">
      <c r="A674" s="95"/>
      <c r="B674" s="108"/>
      <c r="C674" s="97" t="str">
        <f>VLOOKUP(B674,Stock!$A$2:$B$133,2,0)</f>
        <v>#N/A</v>
      </c>
      <c r="D674" s="95"/>
      <c r="E674" s="98"/>
    </row>
    <row r="675" ht="15.75" customHeight="1">
      <c r="A675" s="95"/>
      <c r="B675" s="108"/>
      <c r="C675" s="97" t="str">
        <f>VLOOKUP(B675,Stock!$A$2:$B$133,2,0)</f>
        <v>#N/A</v>
      </c>
      <c r="D675" s="95"/>
      <c r="E675" s="98"/>
    </row>
    <row r="676" ht="15.75" customHeight="1">
      <c r="A676" s="95"/>
      <c r="B676" s="108"/>
      <c r="C676" s="97" t="str">
        <f>VLOOKUP(B676,Stock!$A$2:$B$133,2,0)</f>
        <v>#N/A</v>
      </c>
      <c r="D676" s="95"/>
      <c r="E676" s="98"/>
    </row>
    <row r="677" ht="15.75" customHeight="1">
      <c r="A677" s="95"/>
      <c r="B677" s="108"/>
      <c r="C677" s="97" t="str">
        <f>VLOOKUP(B677,Stock!$A$2:$B$133,2,0)</f>
        <v>#N/A</v>
      </c>
      <c r="D677" s="95"/>
      <c r="E677" s="98"/>
    </row>
    <row r="678" ht="15.75" customHeight="1">
      <c r="A678" s="95"/>
      <c r="B678" s="108"/>
      <c r="C678" s="97" t="str">
        <f>VLOOKUP(B678,Stock!$A$2:$B$133,2,0)</f>
        <v>#N/A</v>
      </c>
      <c r="D678" s="95"/>
      <c r="E678" s="98"/>
    </row>
    <row r="679" ht="15.75" customHeight="1">
      <c r="A679" s="95"/>
      <c r="B679" s="108"/>
      <c r="C679" s="97" t="str">
        <f>VLOOKUP(B679,Stock!$A$2:$B$133,2,0)</f>
        <v>#N/A</v>
      </c>
      <c r="D679" s="95"/>
      <c r="E679" s="98"/>
    </row>
    <row r="680" ht="15.75" customHeight="1">
      <c r="A680" s="95"/>
      <c r="B680" s="108"/>
      <c r="C680" s="97" t="str">
        <f>VLOOKUP(B680,Stock!$A$2:$B$133,2,0)</f>
        <v>#N/A</v>
      </c>
      <c r="D680" s="95"/>
      <c r="E680" s="98"/>
    </row>
    <row r="681" ht="15.75" customHeight="1">
      <c r="A681" s="95"/>
      <c r="B681" s="108"/>
      <c r="C681" s="97" t="str">
        <f>VLOOKUP(B681,Stock!$A$2:$B$133,2,0)</f>
        <v>#N/A</v>
      </c>
      <c r="D681" s="95"/>
      <c r="E681" s="98"/>
    </row>
    <row r="682" ht="15.75" customHeight="1">
      <c r="A682" s="95"/>
      <c r="B682" s="108"/>
      <c r="C682" s="97" t="str">
        <f>VLOOKUP(B682,Stock!$A$2:$B$133,2,0)</f>
        <v>#N/A</v>
      </c>
      <c r="D682" s="95"/>
      <c r="E682" s="98"/>
    </row>
    <row r="683" ht="15.75" customHeight="1">
      <c r="A683" s="95"/>
      <c r="B683" s="108"/>
      <c r="C683" s="97" t="str">
        <f>VLOOKUP(B683,Stock!$A$2:$B$133,2,0)</f>
        <v>#N/A</v>
      </c>
      <c r="D683" s="95"/>
      <c r="E683" s="98"/>
    </row>
    <row r="684" ht="15.75" customHeight="1">
      <c r="A684" s="95"/>
      <c r="B684" s="108"/>
      <c r="C684" s="97" t="str">
        <f>VLOOKUP(B684,Stock!$A$2:$B$133,2,0)</f>
        <v>#N/A</v>
      </c>
      <c r="D684" s="95"/>
      <c r="E684" s="98"/>
    </row>
    <row r="685" ht="15.75" customHeight="1">
      <c r="A685" s="95"/>
      <c r="B685" s="108"/>
      <c r="C685" s="97" t="str">
        <f>VLOOKUP(B685,Stock!$A$2:$B$133,2,0)</f>
        <v>#N/A</v>
      </c>
      <c r="D685" s="95"/>
      <c r="E685" s="98"/>
    </row>
    <row r="686" ht="15.75" customHeight="1">
      <c r="A686" s="95"/>
      <c r="B686" s="108"/>
      <c r="C686" s="97" t="str">
        <f>VLOOKUP(B686,Stock!$A$2:$B$133,2,0)</f>
        <v>#N/A</v>
      </c>
      <c r="D686" s="95"/>
      <c r="E686" s="98"/>
    </row>
    <row r="687" ht="15.75" customHeight="1">
      <c r="A687" s="95"/>
      <c r="B687" s="108"/>
      <c r="C687" s="97" t="str">
        <f>VLOOKUP(B687,Stock!$A$2:$B$133,2,0)</f>
        <v>#N/A</v>
      </c>
      <c r="D687" s="95"/>
      <c r="E687" s="98"/>
    </row>
    <row r="688" ht="15.75" customHeight="1">
      <c r="A688" s="95"/>
      <c r="B688" s="108"/>
      <c r="C688" s="97" t="str">
        <f>VLOOKUP(B688,Stock!$A$2:$B$133,2,0)</f>
        <v>#N/A</v>
      </c>
      <c r="D688" s="95"/>
      <c r="E688" s="98"/>
    </row>
    <row r="689" ht="15.75" customHeight="1">
      <c r="A689" s="95"/>
      <c r="B689" s="108"/>
      <c r="C689" s="97" t="str">
        <f>VLOOKUP(B689,Stock!$A$2:$B$133,2,0)</f>
        <v>#N/A</v>
      </c>
      <c r="D689" s="95"/>
      <c r="E689" s="98"/>
    </row>
    <row r="690" ht="15.75" customHeight="1">
      <c r="A690" s="95"/>
      <c r="B690" s="108"/>
      <c r="C690" s="97" t="str">
        <f>VLOOKUP(B690,Stock!$A$2:$B$133,2,0)</f>
        <v>#N/A</v>
      </c>
      <c r="D690" s="95"/>
      <c r="E690" s="98"/>
    </row>
    <row r="691" ht="15.75" customHeight="1">
      <c r="A691" s="95"/>
      <c r="B691" s="108"/>
      <c r="C691" s="97" t="str">
        <f>VLOOKUP(B691,Stock!$A$2:$B$133,2,0)</f>
        <v>#N/A</v>
      </c>
      <c r="D691" s="95"/>
      <c r="E691" s="98"/>
    </row>
    <row r="692" ht="15.75" customHeight="1">
      <c r="A692" s="95"/>
      <c r="B692" s="108"/>
      <c r="C692" s="97" t="str">
        <f>VLOOKUP(B692,Stock!$A$2:$B$133,2,0)</f>
        <v>#N/A</v>
      </c>
      <c r="D692" s="95"/>
      <c r="E692" s="98"/>
    </row>
    <row r="693" ht="15.75" customHeight="1">
      <c r="A693" s="95"/>
      <c r="B693" s="108"/>
      <c r="C693" s="97" t="str">
        <f>VLOOKUP(B693,Stock!$A$2:$B$133,2,0)</f>
        <v>#N/A</v>
      </c>
      <c r="D693" s="95"/>
      <c r="E693" s="98"/>
    </row>
    <row r="694" ht="15.75" customHeight="1">
      <c r="A694" s="95"/>
      <c r="B694" s="108"/>
      <c r="C694" s="97" t="str">
        <f>VLOOKUP(B694,Stock!$A$2:$B$133,2,0)</f>
        <v>#N/A</v>
      </c>
      <c r="D694" s="95"/>
      <c r="E694" s="98"/>
    </row>
    <row r="695" ht="15.75" customHeight="1">
      <c r="A695" s="95"/>
      <c r="B695" s="108"/>
      <c r="C695" s="97" t="str">
        <f>VLOOKUP(B695,Stock!$A$2:$B$133,2,0)</f>
        <v>#N/A</v>
      </c>
      <c r="D695" s="95"/>
      <c r="E695" s="98"/>
    </row>
    <row r="696" ht="15.75" customHeight="1">
      <c r="A696" s="95"/>
      <c r="B696" s="108"/>
      <c r="C696" s="97" t="str">
        <f>VLOOKUP(B696,Stock!$A$2:$B$133,2,0)</f>
        <v>#N/A</v>
      </c>
      <c r="D696" s="95"/>
      <c r="E696" s="98"/>
    </row>
    <row r="697" ht="15.75" customHeight="1">
      <c r="A697" s="95"/>
      <c r="B697" s="108"/>
      <c r="C697" s="97" t="str">
        <f>VLOOKUP(B697,Stock!$A$2:$B$133,2,0)</f>
        <v>#N/A</v>
      </c>
      <c r="D697" s="95"/>
      <c r="E697" s="98"/>
    </row>
    <row r="698" ht="15.75" customHeight="1">
      <c r="A698" s="95"/>
      <c r="B698" s="108"/>
      <c r="C698" s="97" t="str">
        <f>VLOOKUP(B698,Stock!$A$2:$B$133,2,0)</f>
        <v>#N/A</v>
      </c>
      <c r="D698" s="95"/>
      <c r="E698" s="98"/>
    </row>
    <row r="699" ht="15.75" customHeight="1">
      <c r="A699" s="95"/>
      <c r="B699" s="108"/>
      <c r="C699" s="97" t="str">
        <f>VLOOKUP(B699,Stock!$A$2:$B$133,2,0)</f>
        <v>#N/A</v>
      </c>
      <c r="D699" s="95"/>
      <c r="E699" s="98"/>
    </row>
    <row r="700" ht="15.75" customHeight="1">
      <c r="A700" s="95"/>
      <c r="B700" s="108"/>
      <c r="C700" s="97" t="str">
        <f>VLOOKUP(B700,Stock!$A$2:$B$133,2,0)</f>
        <v>#N/A</v>
      </c>
      <c r="D700" s="95"/>
      <c r="E700" s="98"/>
    </row>
    <row r="701" ht="15.75" customHeight="1">
      <c r="A701" s="95"/>
      <c r="B701" s="108"/>
      <c r="C701" s="97" t="str">
        <f>VLOOKUP(B701,Stock!$A$2:$B$133,2,0)</f>
        <v>#N/A</v>
      </c>
      <c r="D701" s="95"/>
      <c r="E701" s="98"/>
    </row>
    <row r="702" ht="15.75" customHeight="1">
      <c r="A702" s="95"/>
      <c r="B702" s="108"/>
      <c r="C702" s="97" t="str">
        <f>VLOOKUP(B702,Stock!$A$2:$B$133,2,0)</f>
        <v>#N/A</v>
      </c>
      <c r="D702" s="95"/>
      <c r="E702" s="98"/>
    </row>
    <row r="703" ht="15.75" customHeight="1">
      <c r="A703" s="95"/>
      <c r="B703" s="108"/>
      <c r="C703" s="97" t="str">
        <f>VLOOKUP(B703,Stock!$A$2:$B$133,2,0)</f>
        <v>#N/A</v>
      </c>
      <c r="D703" s="95"/>
      <c r="E703" s="98"/>
    </row>
    <row r="704" ht="15.75" customHeight="1">
      <c r="A704" s="109"/>
      <c r="B704" s="109"/>
      <c r="C704" s="97" t="str">
        <f>VLOOKUP(B704,Stock!$A$2:$B$133,2,0)</f>
        <v>#N/A</v>
      </c>
      <c r="D704" s="98"/>
      <c r="E704" s="98"/>
    </row>
  </sheetData>
  <mergeCells count="1">
    <mergeCell ref="A1:E2"/>
  </mergeCells>
  <printOptions horizontalCentered="1"/>
  <pageMargins bottom="0.75" footer="0.0" header="0.0" left="0.7" right="0.7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0.29"/>
    <col customWidth="1" min="3" max="3" width="50.57"/>
    <col customWidth="1" min="4" max="4" width="15.43"/>
    <col customWidth="1" min="5" max="5" width="9.14"/>
    <col customWidth="1" min="6" max="26" width="8.71"/>
  </cols>
  <sheetData>
    <row r="1" ht="27.75" customHeight="1">
      <c r="A1" s="91" t="s">
        <v>868</v>
      </c>
      <c r="B1" s="5"/>
      <c r="C1" s="5"/>
      <c r="D1" s="5"/>
      <c r="E1" s="11"/>
    </row>
    <row r="2" ht="27.75" customHeight="1">
      <c r="A2" s="17"/>
      <c r="B2" s="18"/>
      <c r="C2" s="18"/>
      <c r="D2" s="18"/>
      <c r="E2" s="20"/>
    </row>
    <row r="3">
      <c r="A3" s="102" t="s">
        <v>860</v>
      </c>
      <c r="B3" s="78" t="s">
        <v>738</v>
      </c>
      <c r="C3" s="78" t="s">
        <v>739</v>
      </c>
      <c r="D3" s="102" t="s">
        <v>861</v>
      </c>
      <c r="E3" s="78" t="s">
        <v>869</v>
      </c>
      <c r="F3" s="103"/>
    </row>
    <row r="4" ht="15.75" customHeight="1">
      <c r="A4" s="95"/>
      <c r="B4" s="104"/>
      <c r="C4" s="97" t="str">
        <f>VLOOKUP(B4,Stock!$A$2:$B$133,2,0)</f>
        <v>#N/A</v>
      </c>
      <c r="D4" s="105"/>
      <c r="E4" s="106"/>
      <c r="F4" s="107"/>
      <c r="G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95"/>
      <c r="B5" s="104"/>
      <c r="C5" s="97" t="str">
        <f>VLOOKUP(B5,Stock!$A$2:$B$133,2,0)</f>
        <v>#N/A</v>
      </c>
      <c r="D5" s="105"/>
      <c r="E5" s="106"/>
      <c r="F5" s="107"/>
      <c r="G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95"/>
      <c r="B6" s="104"/>
      <c r="C6" s="97" t="str">
        <f>VLOOKUP(B6,Stock!$A$2:$B$133,2,0)</f>
        <v>#N/A</v>
      </c>
      <c r="D6" s="105"/>
      <c r="E6" s="106"/>
      <c r="F6" s="107"/>
      <c r="G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95"/>
      <c r="B7" s="104"/>
      <c r="C7" s="97" t="str">
        <f>VLOOKUP(B7,Stock!$A$2:$B$133,2,0)</f>
        <v>#N/A</v>
      </c>
      <c r="D7" s="105"/>
      <c r="E7" s="106"/>
      <c r="F7" s="107"/>
      <c r="G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95"/>
      <c r="B8" s="104"/>
      <c r="C8" s="97" t="str">
        <f>VLOOKUP(B8,Stock!$A$2:$B$133,2,0)</f>
        <v>#N/A</v>
      </c>
      <c r="D8" s="105"/>
      <c r="E8" s="106"/>
      <c r="F8" s="107"/>
      <c r="G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95"/>
      <c r="B9" s="104"/>
      <c r="C9" s="97" t="str">
        <f>VLOOKUP(B9,Stock!$A$2:$B$133,2,0)</f>
        <v>#N/A</v>
      </c>
      <c r="D9" s="105"/>
      <c r="E9" s="106"/>
      <c r="F9" s="107"/>
      <c r="G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95"/>
      <c r="B10" s="104"/>
      <c r="C10" s="97" t="str">
        <f>VLOOKUP(B10,Stock!$A$2:$B$133,2,0)</f>
        <v>#N/A</v>
      </c>
      <c r="D10" s="105"/>
      <c r="E10" s="106"/>
      <c r="F10" s="107"/>
      <c r="G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95"/>
      <c r="B11" s="104"/>
      <c r="C11" s="97" t="str">
        <f>VLOOKUP(B11,Stock!$A$2:$B$133,2,0)</f>
        <v>#N/A</v>
      </c>
      <c r="D11" s="105"/>
      <c r="E11" s="106"/>
      <c r="F11" s="107"/>
      <c r="G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95"/>
      <c r="B12" s="104"/>
      <c r="C12" s="97" t="str">
        <f>VLOOKUP(B12,Stock!$A$2:$B$133,2,0)</f>
        <v>#N/A</v>
      </c>
      <c r="D12" s="105"/>
      <c r="E12" s="106"/>
      <c r="F12" s="107"/>
      <c r="G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95"/>
      <c r="B13" s="104"/>
      <c r="C13" s="97" t="str">
        <f>VLOOKUP(B13,Stock!$A$2:$B$133,2,0)</f>
        <v>#N/A</v>
      </c>
      <c r="D13" s="105"/>
      <c r="E13" s="106"/>
      <c r="F13" s="107"/>
      <c r="G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95"/>
      <c r="B14" s="104"/>
      <c r="C14" s="97" t="str">
        <f>VLOOKUP(B14,Stock!$A$2:$B$133,2,0)</f>
        <v>#N/A</v>
      </c>
      <c r="D14" s="105"/>
      <c r="E14" s="106"/>
      <c r="F14" s="107"/>
      <c r="G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95"/>
      <c r="B15" s="104"/>
      <c r="C15" s="97" t="str">
        <f>VLOOKUP(B15,Stock!$A$2:$B$133,2,0)</f>
        <v>#N/A</v>
      </c>
      <c r="D15" s="105"/>
      <c r="E15" s="106"/>
      <c r="F15" s="107"/>
      <c r="G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5.75" customHeight="1">
      <c r="A16" s="95"/>
      <c r="B16" s="104"/>
      <c r="C16" s="97" t="str">
        <f>VLOOKUP(B16,Stock!$A$2:$B$133,2,0)</f>
        <v>#N/A</v>
      </c>
      <c r="D16" s="105"/>
      <c r="E16" s="106"/>
      <c r="F16" s="107"/>
      <c r="G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5.75" customHeight="1">
      <c r="A17" s="95"/>
      <c r="B17" s="104"/>
      <c r="C17" s="97" t="str">
        <f>VLOOKUP(B17,Stock!$A$2:$B$133,2,0)</f>
        <v>#N/A</v>
      </c>
      <c r="D17" s="105"/>
      <c r="E17" s="106"/>
      <c r="F17" s="107"/>
      <c r="G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95"/>
      <c r="B18" s="104"/>
      <c r="C18" s="97" t="str">
        <f>VLOOKUP(B18,Stock!$A$2:$B$133,2,0)</f>
        <v>#N/A</v>
      </c>
      <c r="D18" s="105"/>
      <c r="E18" s="106"/>
      <c r="F18" s="107"/>
      <c r="G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95"/>
      <c r="B19" s="104"/>
      <c r="C19" s="97" t="str">
        <f>VLOOKUP(B19,Stock!$A$2:$B$133,2,0)</f>
        <v>#N/A</v>
      </c>
      <c r="D19" s="105"/>
      <c r="E19" s="106"/>
      <c r="F19" s="107"/>
      <c r="G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95"/>
      <c r="B20" s="104"/>
      <c r="C20" s="97" t="str">
        <f>VLOOKUP(B20,Stock!$A$2:$B$133,2,0)</f>
        <v>#N/A</v>
      </c>
      <c r="D20" s="105"/>
      <c r="E20" s="106"/>
      <c r="F20" s="107"/>
      <c r="G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95"/>
      <c r="B21" s="104"/>
      <c r="C21" s="97" t="str">
        <f>VLOOKUP(B21,Stock!$A$2:$B$133,2,0)</f>
        <v>#N/A</v>
      </c>
      <c r="D21" s="105"/>
      <c r="E21" s="106"/>
      <c r="F21" s="107"/>
      <c r="G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95"/>
      <c r="B22" s="104"/>
      <c r="C22" s="97" t="str">
        <f>VLOOKUP(B22,Stock!$A$2:$B$133,2,0)</f>
        <v>#N/A</v>
      </c>
      <c r="D22" s="105"/>
      <c r="E22" s="106"/>
      <c r="F22" s="107"/>
      <c r="G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95"/>
      <c r="B23" s="104"/>
      <c r="C23" s="97" t="str">
        <f>VLOOKUP(B23,Stock!$A$2:$B$133,2,0)</f>
        <v>#N/A</v>
      </c>
      <c r="D23" s="105"/>
      <c r="E23" s="106"/>
      <c r="F23" s="107"/>
      <c r="G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95"/>
      <c r="B24" s="104"/>
      <c r="C24" s="97" t="str">
        <f>VLOOKUP(B24,Stock!$A$2:$B$133,2,0)</f>
        <v>#N/A</v>
      </c>
      <c r="D24" s="105"/>
      <c r="E24" s="106"/>
      <c r="F24" s="107"/>
      <c r="G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95"/>
      <c r="B25" s="104"/>
      <c r="C25" s="97" t="str">
        <f>VLOOKUP(B25,Stock!$A$2:$B$133,2,0)</f>
        <v>#N/A</v>
      </c>
      <c r="D25" s="105"/>
      <c r="E25" s="106"/>
      <c r="F25" s="107"/>
      <c r="G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95"/>
      <c r="B26" s="104"/>
      <c r="C26" s="97" t="str">
        <f>VLOOKUP(B26,Stock!$A$2:$B$133,2,0)</f>
        <v>#N/A</v>
      </c>
      <c r="D26" s="105"/>
      <c r="E26" s="106"/>
      <c r="F26" s="107"/>
      <c r="G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95"/>
      <c r="B27" s="104"/>
      <c r="C27" s="97" t="str">
        <f>VLOOKUP(B27,Stock!$A$2:$B$133,2,0)</f>
        <v>#N/A</v>
      </c>
      <c r="D27" s="105"/>
      <c r="E27" s="106"/>
      <c r="F27" s="107"/>
      <c r="G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95"/>
      <c r="B28" s="104"/>
      <c r="C28" s="97" t="str">
        <f>VLOOKUP(B28,Stock!$A$2:$B$133,2,0)</f>
        <v>#N/A</v>
      </c>
      <c r="D28" s="105"/>
      <c r="E28" s="106"/>
      <c r="F28" s="107"/>
      <c r="G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95"/>
      <c r="B29" s="104"/>
      <c r="C29" s="97" t="str">
        <f>VLOOKUP(B29,Stock!$A$2:$B$133,2,0)</f>
        <v>#N/A</v>
      </c>
      <c r="D29" s="105"/>
      <c r="E29" s="106"/>
      <c r="F29" s="107"/>
      <c r="G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95"/>
      <c r="B30" s="104"/>
      <c r="C30" s="97" t="str">
        <f>VLOOKUP(B30,Stock!$A$2:$B$133,2,0)</f>
        <v>#N/A</v>
      </c>
      <c r="D30" s="105"/>
      <c r="E30" s="106"/>
      <c r="F30" s="107"/>
      <c r="G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95"/>
      <c r="B31" s="104"/>
      <c r="C31" s="97" t="str">
        <f>VLOOKUP(B31,Stock!$A$2:$B$133,2,0)</f>
        <v>#N/A</v>
      </c>
      <c r="D31" s="105"/>
      <c r="E31" s="106"/>
      <c r="F31" s="107"/>
      <c r="G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95"/>
      <c r="B32" s="104"/>
      <c r="C32" s="97" t="str">
        <f>VLOOKUP(B32,Stock!$A$2:$B$133,2,0)</f>
        <v>#N/A</v>
      </c>
      <c r="D32" s="105"/>
      <c r="E32" s="106"/>
      <c r="F32" s="107"/>
      <c r="G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95"/>
      <c r="B33" s="104"/>
      <c r="C33" s="97" t="str">
        <f>VLOOKUP(B33,Stock!$A$2:$B$133,2,0)</f>
        <v>#N/A</v>
      </c>
      <c r="D33" s="105"/>
      <c r="E33" s="106"/>
      <c r="F33" s="107"/>
      <c r="G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95"/>
      <c r="B34" s="104"/>
      <c r="C34" s="97" t="str">
        <f>VLOOKUP(B34,Stock!$A$2:$B$133,2,0)</f>
        <v>#N/A</v>
      </c>
      <c r="D34" s="105"/>
      <c r="E34" s="106"/>
      <c r="F34" s="107"/>
      <c r="G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95"/>
      <c r="B35" s="104"/>
      <c r="C35" s="97" t="str">
        <f>VLOOKUP(B35,Stock!$A$2:$B$133,2,0)</f>
        <v>#N/A</v>
      </c>
      <c r="D35" s="105"/>
      <c r="E35" s="106"/>
      <c r="F35" s="107"/>
      <c r="G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95"/>
      <c r="B36" s="104"/>
      <c r="C36" s="97" t="str">
        <f>VLOOKUP(B36,Stock!$A$2:$B$133,2,0)</f>
        <v>#N/A</v>
      </c>
      <c r="D36" s="105"/>
      <c r="E36" s="106"/>
      <c r="F36" s="107"/>
      <c r="G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95"/>
      <c r="B37" s="104"/>
      <c r="C37" s="97" t="str">
        <f>VLOOKUP(B37,Stock!$A$2:$B$133,2,0)</f>
        <v>#N/A</v>
      </c>
      <c r="D37" s="105"/>
      <c r="E37" s="106"/>
      <c r="F37" s="107"/>
      <c r="G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95"/>
      <c r="B38" s="104"/>
      <c r="C38" s="97" t="str">
        <f>VLOOKUP(B38,Stock!$A$2:$B$133,2,0)</f>
        <v>#N/A</v>
      </c>
      <c r="D38" s="105"/>
      <c r="E38" s="106"/>
      <c r="F38" s="107"/>
      <c r="G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95"/>
      <c r="B39" s="104"/>
      <c r="C39" s="97" t="str">
        <f>VLOOKUP(B39,Stock!$A$2:$B$133,2,0)</f>
        <v>#N/A</v>
      </c>
      <c r="D39" s="105"/>
      <c r="E39" s="106"/>
      <c r="F39" s="107"/>
      <c r="G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95"/>
      <c r="B40" s="104"/>
      <c r="C40" s="97" t="str">
        <f>VLOOKUP(B40,Stock!$A$2:$B$133,2,0)</f>
        <v>#N/A</v>
      </c>
      <c r="D40" s="105"/>
      <c r="E40" s="106"/>
      <c r="F40" s="107"/>
      <c r="G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95"/>
      <c r="B41" s="104"/>
      <c r="C41" s="97" t="str">
        <f>VLOOKUP(B41,Stock!$A$2:$B$133,2,0)</f>
        <v>#N/A</v>
      </c>
      <c r="D41" s="105"/>
      <c r="E41" s="106"/>
      <c r="F41" s="107"/>
      <c r="G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95"/>
      <c r="B42" s="104"/>
      <c r="C42" s="97" t="str">
        <f>VLOOKUP(B42,Stock!$A$2:$B$133,2,0)</f>
        <v>#N/A</v>
      </c>
      <c r="D42" s="105"/>
      <c r="E42" s="106"/>
      <c r="F42" s="107"/>
      <c r="G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95"/>
      <c r="B43" s="104"/>
      <c r="C43" s="97" t="str">
        <f>VLOOKUP(B43,Stock!$A$2:$B$133,2,0)</f>
        <v>#N/A</v>
      </c>
      <c r="D43" s="105"/>
      <c r="E43" s="106"/>
      <c r="F43" s="107"/>
      <c r="G43" s="87"/>
    </row>
    <row r="44" ht="15.75" customHeight="1">
      <c r="A44" s="95"/>
      <c r="B44" s="104"/>
      <c r="C44" s="97" t="str">
        <f>VLOOKUP(B44,Stock!$A$2:$B$133,2,0)</f>
        <v>#N/A</v>
      </c>
      <c r="D44" s="105"/>
      <c r="E44" s="106"/>
      <c r="F44" s="107"/>
      <c r="G44" s="87"/>
    </row>
    <row r="45" ht="15.75" customHeight="1">
      <c r="A45" s="95"/>
      <c r="B45" s="104"/>
      <c r="C45" s="97" t="str">
        <f>VLOOKUP(B45,Stock!$A$2:$B$133,2,0)</f>
        <v>#N/A</v>
      </c>
      <c r="D45" s="105"/>
      <c r="E45" s="106"/>
      <c r="F45" s="107"/>
      <c r="G45" s="87"/>
    </row>
    <row r="46" ht="15.75" customHeight="1">
      <c r="A46" s="95"/>
      <c r="B46" s="104"/>
      <c r="C46" s="97" t="str">
        <f>VLOOKUP(B46,Stock!$A$2:$B$133,2,0)</f>
        <v>#N/A</v>
      </c>
      <c r="D46" s="105"/>
      <c r="E46" s="106"/>
      <c r="F46" s="107"/>
      <c r="G46" s="87"/>
    </row>
    <row r="47" ht="15.75" customHeight="1">
      <c r="A47" s="95"/>
      <c r="B47" s="104"/>
      <c r="C47" s="97" t="str">
        <f>VLOOKUP(B47,Stock!$A$2:$B$133,2,0)</f>
        <v>#N/A</v>
      </c>
      <c r="D47" s="105"/>
      <c r="E47" s="106"/>
      <c r="F47" s="107"/>
      <c r="G47" s="87"/>
    </row>
    <row r="48" ht="15.75" customHeight="1">
      <c r="A48" s="95"/>
      <c r="B48" s="104"/>
      <c r="C48" s="97" t="str">
        <f>VLOOKUP(B48,Stock!$A$2:$B$133,2,0)</f>
        <v>#N/A</v>
      </c>
      <c r="D48" s="105"/>
      <c r="E48" s="106"/>
      <c r="F48" s="107"/>
      <c r="G48" s="87"/>
    </row>
    <row r="49" ht="15.75" customHeight="1">
      <c r="A49" s="95"/>
      <c r="B49" s="104"/>
      <c r="C49" s="97" t="str">
        <f>VLOOKUP(B49,Stock!$A$2:$B$133,2,0)</f>
        <v>#N/A</v>
      </c>
      <c r="D49" s="105"/>
      <c r="E49" s="106"/>
      <c r="F49" s="107"/>
      <c r="G49" s="87"/>
    </row>
    <row r="50" ht="15.75" customHeight="1">
      <c r="A50" s="95"/>
      <c r="B50" s="104"/>
      <c r="C50" s="97" t="str">
        <f>VLOOKUP(B50,Stock!$A$2:$B$133,2,0)</f>
        <v>#N/A</v>
      </c>
      <c r="D50" s="105"/>
      <c r="E50" s="106"/>
      <c r="F50" s="107"/>
      <c r="G50" s="87"/>
    </row>
    <row r="51" ht="15.75" customHeight="1">
      <c r="A51" s="95"/>
      <c r="B51" s="104"/>
      <c r="C51" s="97" t="str">
        <f>VLOOKUP(B51,Stock!$A$2:$B$133,2,0)</f>
        <v>#N/A</v>
      </c>
      <c r="D51" s="105"/>
      <c r="E51" s="106"/>
      <c r="F51" s="107"/>
      <c r="G51" s="87"/>
    </row>
    <row r="52" ht="15.75" customHeight="1">
      <c r="A52" s="95"/>
      <c r="B52" s="104"/>
      <c r="C52" s="97" t="str">
        <f>VLOOKUP(B52,Stock!$A$2:$B$133,2,0)</f>
        <v>#N/A</v>
      </c>
      <c r="D52" s="105"/>
      <c r="E52" s="106"/>
      <c r="F52" s="107"/>
      <c r="G52" s="87"/>
    </row>
    <row r="53" ht="15.75" customHeight="1">
      <c r="A53" s="95"/>
      <c r="B53" s="104"/>
      <c r="C53" s="97" t="str">
        <f>VLOOKUP(B53,Stock!$A$2:$B$133,2,0)</f>
        <v>#N/A</v>
      </c>
      <c r="D53" s="105"/>
      <c r="E53" s="106"/>
      <c r="F53" s="107"/>
      <c r="G53" s="87"/>
    </row>
    <row r="54" ht="15.75" customHeight="1">
      <c r="A54" s="95"/>
      <c r="B54" s="104"/>
      <c r="C54" s="97" t="str">
        <f>VLOOKUP(B54,Stock!$A$2:$B$133,2,0)</f>
        <v>#N/A</v>
      </c>
      <c r="D54" s="105"/>
      <c r="E54" s="106"/>
      <c r="F54" s="107"/>
      <c r="G54" s="87"/>
    </row>
    <row r="55" ht="15.75" customHeight="1">
      <c r="A55" s="95"/>
      <c r="B55" s="104"/>
      <c r="C55" s="97" t="str">
        <f>VLOOKUP(B55,Stock!$A$2:$B$133,2,0)</f>
        <v>#N/A</v>
      </c>
      <c r="D55" s="105"/>
      <c r="E55" s="106"/>
      <c r="F55" s="107"/>
      <c r="G55" s="87"/>
    </row>
    <row r="56" ht="15.75" customHeight="1">
      <c r="A56" s="95"/>
      <c r="B56" s="104"/>
      <c r="C56" s="97" t="str">
        <f>VLOOKUP(B56,Stock!$A$2:$B$133,2,0)</f>
        <v>#N/A</v>
      </c>
      <c r="D56" s="105"/>
      <c r="E56" s="106"/>
      <c r="F56" s="107"/>
      <c r="G56" s="87"/>
    </row>
    <row r="57" ht="15.75" customHeight="1">
      <c r="A57" s="95"/>
      <c r="B57" s="104"/>
      <c r="C57" s="97" t="str">
        <f>VLOOKUP(B57,Stock!$A$2:$B$133,2,0)</f>
        <v>#N/A</v>
      </c>
      <c r="D57" s="105"/>
      <c r="E57" s="106"/>
      <c r="F57" s="107"/>
      <c r="G57" s="87"/>
    </row>
    <row r="58" ht="15.75" customHeight="1">
      <c r="A58" s="95"/>
      <c r="B58" s="104"/>
      <c r="C58" s="97" t="str">
        <f>VLOOKUP(B58,Stock!$A$2:$B$133,2,0)</f>
        <v>#N/A</v>
      </c>
      <c r="D58" s="105"/>
      <c r="E58" s="106"/>
      <c r="F58" s="107"/>
      <c r="G58" s="87"/>
    </row>
    <row r="59" ht="15.75" customHeight="1">
      <c r="A59" s="95"/>
      <c r="B59" s="104"/>
      <c r="C59" s="97" t="str">
        <f>VLOOKUP(B59,Stock!$A$2:$B$133,2,0)</f>
        <v>#N/A</v>
      </c>
      <c r="D59" s="105"/>
      <c r="E59" s="106"/>
      <c r="F59" s="107"/>
      <c r="G59" s="87"/>
    </row>
    <row r="60" ht="15.75" customHeight="1">
      <c r="A60" s="95"/>
      <c r="B60" s="104"/>
      <c r="C60" s="97" t="str">
        <f>VLOOKUP(B60,Stock!$A$2:$B$133,2,0)</f>
        <v>#N/A</v>
      </c>
      <c r="D60" s="105"/>
      <c r="E60" s="106"/>
      <c r="F60" s="107"/>
      <c r="G60" s="87"/>
    </row>
    <row r="61" ht="15.75" customHeight="1">
      <c r="A61" s="95"/>
      <c r="B61" s="104"/>
      <c r="C61" s="97" t="str">
        <f>VLOOKUP(B61,Stock!$A$2:$B$133,2,0)</f>
        <v>#N/A</v>
      </c>
      <c r="D61" s="105"/>
      <c r="E61" s="106"/>
      <c r="F61" s="107"/>
      <c r="G61" s="87"/>
    </row>
    <row r="62" ht="15.75" customHeight="1">
      <c r="A62" s="95"/>
      <c r="B62" s="104"/>
      <c r="C62" s="97" t="str">
        <f>VLOOKUP(B62,Stock!$A$2:$B$133,2,0)</f>
        <v>#N/A</v>
      </c>
      <c r="D62" s="105"/>
      <c r="E62" s="106"/>
      <c r="F62" s="107"/>
      <c r="G62" s="87"/>
    </row>
    <row r="63" ht="15.75" customHeight="1">
      <c r="A63" s="95"/>
      <c r="B63" s="104"/>
      <c r="C63" s="97" t="str">
        <f>VLOOKUP(B63,Stock!$A$2:$B$133,2,0)</f>
        <v>#N/A</v>
      </c>
      <c r="D63" s="105"/>
      <c r="E63" s="106"/>
      <c r="F63" s="107"/>
      <c r="G63" s="87"/>
    </row>
    <row r="64" ht="15.75" customHeight="1">
      <c r="A64" s="95"/>
      <c r="B64" s="104"/>
      <c r="C64" s="97" t="str">
        <f>VLOOKUP(B64,Stock!$A$2:$B$133,2,0)</f>
        <v>#N/A</v>
      </c>
      <c r="D64" s="105"/>
      <c r="E64" s="106"/>
      <c r="F64" s="107"/>
      <c r="G64" s="87"/>
    </row>
    <row r="65" ht="15.75" customHeight="1">
      <c r="A65" s="95"/>
      <c r="B65" s="104"/>
      <c r="C65" s="97" t="str">
        <f>VLOOKUP(B65,Stock!$A$2:$B$133,2,0)</f>
        <v>#N/A</v>
      </c>
      <c r="D65" s="105"/>
      <c r="E65" s="106"/>
      <c r="F65" s="107"/>
      <c r="G65" s="87"/>
    </row>
    <row r="66" ht="15.75" customHeight="1">
      <c r="A66" s="95"/>
      <c r="B66" s="104"/>
      <c r="C66" s="97" t="str">
        <f>VLOOKUP(B66,Stock!$A$2:$B$133,2,0)</f>
        <v>#N/A</v>
      </c>
      <c r="D66" s="105"/>
      <c r="E66" s="106"/>
      <c r="F66" s="107"/>
      <c r="G66" s="87"/>
    </row>
    <row r="67" ht="15.75" customHeight="1">
      <c r="A67" s="95"/>
      <c r="B67" s="104"/>
      <c r="C67" s="97" t="str">
        <f>VLOOKUP(B67,Stock!$A$2:$B$133,2,0)</f>
        <v>#N/A</v>
      </c>
      <c r="D67" s="105"/>
      <c r="E67" s="106"/>
      <c r="F67" s="107"/>
      <c r="G67" s="87"/>
    </row>
    <row r="68" ht="15.75" customHeight="1">
      <c r="A68" s="95"/>
      <c r="B68" s="104"/>
      <c r="C68" s="97" t="str">
        <f>VLOOKUP(B68,Stock!$A$2:$B$133,2,0)</f>
        <v>#N/A</v>
      </c>
      <c r="D68" s="105"/>
      <c r="E68" s="106"/>
      <c r="F68" s="107"/>
      <c r="G68" s="87"/>
    </row>
    <row r="69" ht="15.75" customHeight="1">
      <c r="A69" s="95"/>
      <c r="B69" s="104"/>
      <c r="C69" s="97" t="str">
        <f>VLOOKUP(B69,Stock!$A$2:$B$133,2,0)</f>
        <v>#N/A</v>
      </c>
      <c r="D69" s="105"/>
      <c r="E69" s="106"/>
      <c r="F69" s="107"/>
      <c r="G69" s="87"/>
    </row>
    <row r="70" ht="15.75" customHeight="1">
      <c r="A70" s="95"/>
      <c r="B70" s="104"/>
      <c r="C70" s="97" t="str">
        <f>VLOOKUP(B70,Stock!$A$2:$B$133,2,0)</f>
        <v>#N/A</v>
      </c>
      <c r="D70" s="105"/>
      <c r="E70" s="106"/>
      <c r="F70" s="107"/>
      <c r="G70" s="87"/>
    </row>
    <row r="71" ht="15.75" customHeight="1">
      <c r="A71" s="95"/>
      <c r="B71" s="104"/>
      <c r="C71" s="97" t="str">
        <f>VLOOKUP(B71,Stock!$A$2:$B$133,2,0)</f>
        <v>#N/A</v>
      </c>
      <c r="D71" s="105"/>
      <c r="E71" s="106"/>
      <c r="F71" s="107"/>
      <c r="G71" s="87"/>
    </row>
    <row r="72" ht="15.75" customHeight="1">
      <c r="A72" s="95"/>
      <c r="B72" s="104"/>
      <c r="C72" s="97" t="str">
        <f>VLOOKUP(B72,Stock!$A$2:$B$133,2,0)</f>
        <v>#N/A</v>
      </c>
      <c r="D72" s="105"/>
      <c r="E72" s="106"/>
      <c r="F72" s="107"/>
      <c r="G72" s="87"/>
    </row>
    <row r="73" ht="15.75" customHeight="1">
      <c r="A73" s="95"/>
      <c r="B73" s="104"/>
      <c r="C73" s="97" t="str">
        <f>VLOOKUP(B73,Stock!$A$2:$B$133,2,0)</f>
        <v>#N/A</v>
      </c>
      <c r="D73" s="105"/>
      <c r="E73" s="106"/>
      <c r="F73" s="107"/>
      <c r="G73" s="87"/>
    </row>
    <row r="74" ht="15.75" customHeight="1">
      <c r="A74" s="95"/>
      <c r="B74" s="104"/>
      <c r="C74" s="97" t="str">
        <f>VLOOKUP(B74,Stock!$A$2:$B$133,2,0)</f>
        <v>#N/A</v>
      </c>
      <c r="D74" s="105"/>
      <c r="E74" s="106"/>
      <c r="F74" s="107"/>
      <c r="G74" s="87"/>
    </row>
    <row r="75" ht="15.75" customHeight="1">
      <c r="A75" s="95"/>
      <c r="B75" s="104"/>
      <c r="C75" s="97" t="str">
        <f>VLOOKUP(B75,Stock!$A$2:$B$133,2,0)</f>
        <v>#N/A</v>
      </c>
      <c r="D75" s="105"/>
      <c r="E75" s="106"/>
      <c r="F75" s="107"/>
      <c r="G75" s="87"/>
    </row>
    <row r="76" ht="15.75" customHeight="1">
      <c r="A76" s="95"/>
      <c r="B76" s="104"/>
      <c r="C76" s="97" t="str">
        <f>VLOOKUP(B76,Stock!$A$2:$B$133,2,0)</f>
        <v>#N/A</v>
      </c>
      <c r="D76" s="105"/>
      <c r="E76" s="106"/>
      <c r="F76" s="107"/>
      <c r="G76" s="87"/>
    </row>
    <row r="77" ht="15.75" customHeight="1">
      <c r="A77" s="95"/>
      <c r="B77" s="104"/>
      <c r="C77" s="97" t="str">
        <f>VLOOKUP(B77,Stock!$A$2:$B$133,2,0)</f>
        <v>#N/A</v>
      </c>
      <c r="D77" s="105"/>
      <c r="E77" s="106"/>
      <c r="F77" s="107"/>
      <c r="G77" s="87"/>
    </row>
    <row r="78" ht="15.75" customHeight="1">
      <c r="A78" s="95"/>
      <c r="B78" s="104"/>
      <c r="C78" s="97" t="str">
        <f>VLOOKUP(B78,Stock!$A$2:$B$133,2,0)</f>
        <v>#N/A</v>
      </c>
      <c r="D78" s="105"/>
      <c r="E78" s="106"/>
      <c r="F78" s="107"/>
      <c r="G78" s="87"/>
    </row>
    <row r="79" ht="15.75" customHeight="1">
      <c r="A79" s="95"/>
      <c r="B79" s="104"/>
      <c r="C79" s="97" t="str">
        <f>VLOOKUP(B79,Stock!$A$2:$B$133,2,0)</f>
        <v>#N/A</v>
      </c>
      <c r="D79" s="105"/>
      <c r="E79" s="106"/>
      <c r="F79" s="107"/>
      <c r="G79" s="87"/>
    </row>
    <row r="80" ht="15.75" customHeight="1">
      <c r="A80" s="95"/>
      <c r="B80" s="104"/>
      <c r="C80" s="97" t="str">
        <f>VLOOKUP(B80,Stock!$A$2:$B$133,2,0)</f>
        <v>#N/A</v>
      </c>
      <c r="D80" s="105"/>
      <c r="E80" s="106"/>
      <c r="F80" s="107"/>
      <c r="G80" s="87"/>
    </row>
    <row r="81" ht="15.75" customHeight="1">
      <c r="A81" s="95"/>
      <c r="B81" s="104"/>
      <c r="C81" s="97" t="str">
        <f>VLOOKUP(B81,Stock!$A$2:$B$133,2,0)</f>
        <v>#N/A</v>
      </c>
      <c r="D81" s="105"/>
      <c r="E81" s="106"/>
      <c r="F81" s="107"/>
      <c r="G81" s="87"/>
    </row>
    <row r="82" ht="15.75" customHeight="1">
      <c r="A82" s="95"/>
      <c r="B82" s="104"/>
      <c r="C82" s="97" t="str">
        <f>VLOOKUP(B82,Stock!$A$2:$B$133,2,0)</f>
        <v>#N/A</v>
      </c>
      <c r="D82" s="105"/>
      <c r="E82" s="106"/>
      <c r="F82" s="107"/>
      <c r="G82" s="87"/>
    </row>
    <row r="83" ht="15.75" customHeight="1">
      <c r="A83" s="95"/>
      <c r="B83" s="104"/>
      <c r="C83" s="97" t="str">
        <f>VLOOKUP(B83,Stock!$A$2:$B$133,2,0)</f>
        <v>#N/A</v>
      </c>
      <c r="D83" s="105"/>
      <c r="E83" s="106"/>
      <c r="F83" s="107"/>
      <c r="G83" s="87"/>
    </row>
    <row r="84" ht="15.75" customHeight="1">
      <c r="A84" s="95"/>
      <c r="B84" s="104"/>
      <c r="C84" s="97" t="str">
        <f>VLOOKUP(B84,Stock!$A$2:$B$133,2,0)</f>
        <v>#N/A</v>
      </c>
      <c r="D84" s="105"/>
      <c r="E84" s="106"/>
      <c r="F84" s="107"/>
      <c r="G84" s="87"/>
    </row>
    <row r="85" ht="15.75" customHeight="1">
      <c r="A85" s="95"/>
      <c r="B85" s="104"/>
      <c r="C85" s="97" t="str">
        <f>VLOOKUP(B85,Stock!$A$2:$B$133,2,0)</f>
        <v>#N/A</v>
      </c>
      <c r="D85" s="105"/>
      <c r="E85" s="106"/>
      <c r="F85" s="107"/>
      <c r="G85" s="87"/>
    </row>
    <row r="86" ht="15.75" customHeight="1">
      <c r="A86" s="95"/>
      <c r="B86" s="104"/>
      <c r="C86" s="97" t="str">
        <f>VLOOKUP(B86,Stock!$A$2:$B$133,2,0)</f>
        <v>#N/A</v>
      </c>
      <c r="D86" s="105"/>
      <c r="E86" s="106"/>
      <c r="F86" s="107"/>
      <c r="G86" s="87"/>
    </row>
    <row r="87" ht="15.75" customHeight="1">
      <c r="A87" s="95"/>
      <c r="B87" s="104"/>
      <c r="C87" s="97" t="str">
        <f>VLOOKUP(B87,Stock!$A$2:$B$133,2,0)</f>
        <v>#N/A</v>
      </c>
      <c r="D87" s="105"/>
      <c r="E87" s="106"/>
      <c r="F87" s="107"/>
      <c r="G87" s="87"/>
    </row>
    <row r="88" ht="15.75" customHeight="1">
      <c r="A88" s="95"/>
      <c r="B88" s="104"/>
      <c r="C88" s="97" t="str">
        <f>VLOOKUP(B88,Stock!$A$2:$B$133,2,0)</f>
        <v>#N/A</v>
      </c>
      <c r="D88" s="105"/>
      <c r="E88" s="106"/>
      <c r="F88" s="107"/>
      <c r="G88" s="87"/>
    </row>
    <row r="89" ht="15.75" customHeight="1">
      <c r="A89" s="95"/>
      <c r="B89" s="104"/>
      <c r="C89" s="97" t="str">
        <f>VLOOKUP(B89,Stock!$A$2:$B$133,2,0)</f>
        <v>#N/A</v>
      </c>
      <c r="D89" s="105"/>
      <c r="E89" s="106"/>
      <c r="F89" s="107"/>
      <c r="G89" s="87"/>
    </row>
    <row r="90" ht="15.75" customHeight="1">
      <c r="A90" s="95"/>
      <c r="B90" s="104"/>
      <c r="C90" s="97" t="str">
        <f>VLOOKUP(B90,Stock!$A$2:$B$133,2,0)</f>
        <v>#N/A</v>
      </c>
      <c r="D90" s="105"/>
      <c r="E90" s="106"/>
      <c r="F90" s="107"/>
      <c r="G90" s="87"/>
    </row>
    <row r="91" ht="15.75" customHeight="1">
      <c r="A91" s="95"/>
      <c r="B91" s="104"/>
      <c r="C91" s="97" t="str">
        <f>VLOOKUP(B91,Stock!$A$2:$B$133,2,0)</f>
        <v>#N/A</v>
      </c>
      <c r="D91" s="105"/>
      <c r="E91" s="106"/>
      <c r="F91" s="107"/>
      <c r="G91" s="87"/>
    </row>
    <row r="92" ht="15.75" customHeight="1">
      <c r="A92" s="95"/>
      <c r="B92" s="104"/>
      <c r="C92" s="97" t="str">
        <f>VLOOKUP(B92,Stock!$A$2:$B$133,2,0)</f>
        <v>#N/A</v>
      </c>
      <c r="D92" s="105"/>
      <c r="E92" s="106"/>
      <c r="F92" s="107"/>
      <c r="G92" s="87"/>
    </row>
    <row r="93" ht="15.75" customHeight="1">
      <c r="A93" s="95"/>
      <c r="B93" s="104"/>
      <c r="C93" s="97" t="str">
        <f>VLOOKUP(B93,Stock!$A$2:$B$133,2,0)</f>
        <v>#N/A</v>
      </c>
      <c r="D93" s="105"/>
      <c r="E93" s="106"/>
      <c r="F93" s="107"/>
      <c r="G93" s="87"/>
    </row>
    <row r="94" ht="15.75" customHeight="1">
      <c r="A94" s="95"/>
      <c r="B94" s="104"/>
      <c r="C94" s="97" t="str">
        <f>VLOOKUP(B94,Stock!$A$2:$B$133,2,0)</f>
        <v>#N/A</v>
      </c>
      <c r="D94" s="105"/>
      <c r="E94" s="106"/>
      <c r="F94" s="107"/>
      <c r="G94" s="87"/>
    </row>
    <row r="95" ht="15.75" customHeight="1">
      <c r="A95" s="95"/>
      <c r="B95" s="104"/>
      <c r="C95" s="97" t="str">
        <f>VLOOKUP(B95,Stock!$A$2:$B$133,2,0)</f>
        <v>#N/A</v>
      </c>
      <c r="D95" s="105"/>
      <c r="E95" s="106"/>
      <c r="F95" s="107"/>
      <c r="G95" s="87"/>
    </row>
    <row r="96" ht="15.75" customHeight="1">
      <c r="A96" s="95"/>
      <c r="B96" s="104"/>
      <c r="C96" s="97" t="str">
        <f>VLOOKUP(B96,Stock!$A$2:$B$133,2,0)</f>
        <v>#N/A</v>
      </c>
      <c r="D96" s="105"/>
      <c r="E96" s="106"/>
      <c r="F96" s="107"/>
      <c r="G96" s="87"/>
    </row>
    <row r="97" ht="15.75" customHeight="1">
      <c r="A97" s="95"/>
      <c r="B97" s="104"/>
      <c r="C97" s="97" t="str">
        <f>VLOOKUP(B97,Stock!$A$2:$B$133,2,0)</f>
        <v>#N/A</v>
      </c>
      <c r="D97" s="105"/>
      <c r="E97" s="106"/>
      <c r="F97" s="107"/>
      <c r="G97" s="87"/>
    </row>
    <row r="98" ht="15.75" customHeight="1">
      <c r="A98" s="95"/>
      <c r="B98" s="104"/>
      <c r="C98" s="97" t="str">
        <f>VLOOKUP(B98,Stock!$A$2:$B$133,2,0)</f>
        <v>#N/A</v>
      </c>
      <c r="D98" s="105"/>
      <c r="E98" s="106"/>
      <c r="F98" s="107"/>
      <c r="G98" s="87"/>
    </row>
    <row r="99" ht="15.75" customHeight="1">
      <c r="A99" s="95"/>
      <c r="B99" s="104"/>
      <c r="C99" s="97" t="str">
        <f>VLOOKUP(B99,Stock!$A$2:$B$133,2,0)</f>
        <v>#N/A</v>
      </c>
      <c r="D99" s="105"/>
      <c r="E99" s="106"/>
      <c r="F99" s="107"/>
      <c r="G99" s="87"/>
    </row>
    <row r="100" ht="15.75" customHeight="1">
      <c r="A100" s="95"/>
      <c r="B100" s="104"/>
      <c r="C100" s="97" t="str">
        <f>VLOOKUP(B100,Stock!$A$2:$B$133,2,0)</f>
        <v>#N/A</v>
      </c>
      <c r="D100" s="105"/>
      <c r="E100" s="106"/>
      <c r="F100" s="107"/>
      <c r="G100" s="87"/>
    </row>
    <row r="101" ht="15.75" customHeight="1">
      <c r="A101" s="95"/>
      <c r="B101" s="104"/>
      <c r="C101" s="97" t="str">
        <f>VLOOKUP(B101,Stock!$A$2:$B$133,2,0)</f>
        <v>#N/A</v>
      </c>
      <c r="D101" s="105"/>
      <c r="E101" s="106"/>
      <c r="F101" s="107"/>
      <c r="G101" s="87"/>
    </row>
    <row r="102" ht="15.75" customHeight="1">
      <c r="A102" s="95"/>
      <c r="B102" s="104"/>
      <c r="C102" s="97" t="str">
        <f>VLOOKUP(B102,Stock!$A$2:$B$133,2,0)</f>
        <v>#N/A</v>
      </c>
      <c r="D102" s="105"/>
      <c r="E102" s="106"/>
      <c r="F102" s="107"/>
      <c r="G102" s="87"/>
    </row>
    <row r="103" ht="15.75" customHeight="1">
      <c r="A103" s="95"/>
      <c r="B103" s="104"/>
      <c r="C103" s="97" t="str">
        <f>VLOOKUP(B103,Stock!$A$2:$B$133,2,0)</f>
        <v>#N/A</v>
      </c>
      <c r="D103" s="105"/>
      <c r="E103" s="106"/>
      <c r="F103" s="107"/>
      <c r="G103" s="87"/>
    </row>
    <row r="104" ht="15.75" customHeight="1">
      <c r="A104" s="95"/>
      <c r="B104" s="104"/>
      <c r="C104" s="97" t="str">
        <f>VLOOKUP(B104,Stock!$A$2:$B$133,2,0)</f>
        <v>#N/A</v>
      </c>
      <c r="D104" s="105"/>
      <c r="E104" s="106"/>
      <c r="F104" s="107"/>
      <c r="G104" s="87"/>
    </row>
    <row r="105" ht="15.75" customHeight="1">
      <c r="A105" s="95"/>
      <c r="B105" s="104"/>
      <c r="C105" s="97" t="str">
        <f>VLOOKUP(B105,Stock!$A$2:$B$133,2,0)</f>
        <v>#N/A</v>
      </c>
      <c r="D105" s="105"/>
      <c r="E105" s="106"/>
      <c r="F105" s="107"/>
      <c r="G105" s="87"/>
    </row>
    <row r="106" ht="15.75" customHeight="1">
      <c r="A106" s="95"/>
      <c r="B106" s="104"/>
      <c r="C106" s="97" t="str">
        <f>VLOOKUP(B106,Stock!$A$2:$B$133,2,0)</f>
        <v>#N/A</v>
      </c>
      <c r="D106" s="105"/>
      <c r="E106" s="106"/>
      <c r="F106" s="107"/>
      <c r="G106" s="87"/>
    </row>
    <row r="107" ht="15.75" customHeight="1">
      <c r="A107" s="95"/>
      <c r="B107" s="104"/>
      <c r="C107" s="97" t="str">
        <f>VLOOKUP(B107,Stock!$A$2:$B$133,2,0)</f>
        <v>#N/A</v>
      </c>
      <c r="D107" s="105"/>
      <c r="E107" s="106"/>
      <c r="F107" s="107"/>
      <c r="G107" s="87"/>
    </row>
    <row r="108" ht="15.75" customHeight="1">
      <c r="A108" s="95"/>
      <c r="B108" s="104"/>
      <c r="C108" s="97" t="str">
        <f>VLOOKUP(B108,Stock!$A$2:$B$133,2,0)</f>
        <v>#N/A</v>
      </c>
      <c r="D108" s="105"/>
      <c r="E108" s="106"/>
      <c r="F108" s="107"/>
      <c r="G108" s="87"/>
    </row>
    <row r="109" ht="15.75" customHeight="1">
      <c r="A109" s="95"/>
      <c r="B109" s="104"/>
      <c r="C109" s="97" t="str">
        <f>VLOOKUP(B109,Stock!$A$2:$B$133,2,0)</f>
        <v>#N/A</v>
      </c>
      <c r="D109" s="105"/>
      <c r="E109" s="106"/>
      <c r="F109" s="107"/>
      <c r="G109" s="87"/>
    </row>
    <row r="110" ht="15.75" customHeight="1">
      <c r="A110" s="95"/>
      <c r="B110" s="104"/>
      <c r="C110" s="97" t="str">
        <f>VLOOKUP(B110,Stock!$A$2:$B$133,2,0)</f>
        <v>#N/A</v>
      </c>
      <c r="D110" s="105"/>
      <c r="E110" s="106"/>
      <c r="F110" s="107"/>
      <c r="G110" s="87"/>
    </row>
    <row r="111" ht="15.75" customHeight="1">
      <c r="A111" s="95"/>
      <c r="B111" s="104"/>
      <c r="C111" s="97" t="str">
        <f>VLOOKUP(B111,Stock!$A$2:$B$133,2,0)</f>
        <v>#N/A</v>
      </c>
      <c r="D111" s="105"/>
      <c r="E111" s="106"/>
      <c r="F111" s="107"/>
      <c r="G111" s="87"/>
    </row>
    <row r="112" ht="15.75" customHeight="1">
      <c r="A112" s="95"/>
      <c r="B112" s="104"/>
      <c r="C112" s="97" t="str">
        <f>VLOOKUP(B112,Stock!$A$2:$B$133,2,0)</f>
        <v>#N/A</v>
      </c>
      <c r="D112" s="105"/>
      <c r="E112" s="106"/>
      <c r="F112" s="107"/>
      <c r="G112" s="87"/>
    </row>
    <row r="113" ht="15.75" customHeight="1">
      <c r="A113" s="95"/>
      <c r="B113" s="104"/>
      <c r="C113" s="97" t="str">
        <f>VLOOKUP(B113,Stock!$A$2:$B$133,2,0)</f>
        <v>#N/A</v>
      </c>
      <c r="D113" s="105"/>
      <c r="E113" s="106"/>
      <c r="F113" s="107"/>
      <c r="G113" s="87"/>
    </row>
    <row r="114" ht="15.75" customHeight="1">
      <c r="A114" s="95"/>
      <c r="B114" s="104"/>
      <c r="C114" s="97" t="str">
        <f>VLOOKUP(B114,Stock!$A$2:$B$133,2,0)</f>
        <v>#N/A</v>
      </c>
      <c r="D114" s="105"/>
      <c r="E114" s="106"/>
      <c r="F114" s="107"/>
      <c r="G114" s="87"/>
    </row>
    <row r="115" ht="15.75" customHeight="1">
      <c r="A115" s="95"/>
      <c r="B115" s="104"/>
      <c r="C115" s="97" t="str">
        <f>VLOOKUP(B115,Stock!$A$2:$B$133,2,0)</f>
        <v>#N/A</v>
      </c>
      <c r="D115" s="105"/>
      <c r="E115" s="106"/>
      <c r="F115" s="107"/>
      <c r="G115" s="87"/>
    </row>
    <row r="116" ht="15.75" customHeight="1">
      <c r="A116" s="95"/>
      <c r="B116" s="104"/>
      <c r="C116" s="97" t="str">
        <f>VLOOKUP(B116,Stock!$A$2:$B$133,2,0)</f>
        <v>#N/A</v>
      </c>
      <c r="D116" s="105"/>
      <c r="E116" s="106"/>
      <c r="F116" s="107"/>
      <c r="G116" s="87"/>
    </row>
    <row r="117" ht="15.75" customHeight="1">
      <c r="A117" s="95"/>
      <c r="B117" s="104"/>
      <c r="C117" s="97" t="str">
        <f>VLOOKUP(B117,Stock!$A$2:$B$133,2,0)</f>
        <v>#N/A</v>
      </c>
      <c r="D117" s="105"/>
      <c r="E117" s="106"/>
      <c r="F117" s="107"/>
      <c r="G117" s="87"/>
    </row>
    <row r="118" ht="15.75" customHeight="1">
      <c r="A118" s="95"/>
      <c r="B118" s="104"/>
      <c r="C118" s="97" t="str">
        <f>VLOOKUP(B118,Stock!$A$2:$B$133,2,0)</f>
        <v>#N/A</v>
      </c>
      <c r="D118" s="105"/>
      <c r="E118" s="106"/>
      <c r="F118" s="107"/>
      <c r="G118" s="87"/>
    </row>
    <row r="119" ht="15.75" customHeight="1">
      <c r="A119" s="95"/>
      <c r="B119" s="104"/>
      <c r="C119" s="97" t="str">
        <f>VLOOKUP(B119,Stock!$A$2:$B$133,2,0)</f>
        <v>#N/A</v>
      </c>
      <c r="D119" s="105"/>
      <c r="E119" s="106"/>
      <c r="F119" s="107"/>
      <c r="G119" s="87"/>
    </row>
    <row r="120" ht="15.75" customHeight="1">
      <c r="A120" s="95"/>
      <c r="B120" s="104"/>
      <c r="C120" s="97" t="str">
        <f>VLOOKUP(B120,Stock!$A$2:$B$133,2,0)</f>
        <v>#N/A</v>
      </c>
      <c r="D120" s="105"/>
      <c r="E120" s="106"/>
      <c r="F120" s="107"/>
      <c r="G120" s="87"/>
    </row>
    <row r="121" ht="15.75" customHeight="1">
      <c r="A121" s="95"/>
      <c r="B121" s="104"/>
      <c r="C121" s="97" t="str">
        <f>VLOOKUP(B121,Stock!$A$2:$B$133,2,0)</f>
        <v>#N/A</v>
      </c>
      <c r="D121" s="105"/>
      <c r="E121" s="106"/>
      <c r="F121" s="107"/>
      <c r="G121" s="87"/>
    </row>
    <row r="122" ht="15.75" customHeight="1">
      <c r="A122" s="95"/>
      <c r="B122" s="104"/>
      <c r="C122" s="97" t="str">
        <f>VLOOKUP(B122,Stock!$A$2:$B$133,2,0)</f>
        <v>#N/A</v>
      </c>
      <c r="D122" s="105"/>
      <c r="E122" s="106"/>
      <c r="F122" s="107"/>
      <c r="G122" s="87"/>
    </row>
    <row r="123" ht="15.75" customHeight="1">
      <c r="A123" s="95"/>
      <c r="B123" s="104"/>
      <c r="C123" s="97" t="str">
        <f>VLOOKUP(B123,Stock!$A$2:$B$133,2,0)</f>
        <v>#N/A</v>
      </c>
      <c r="D123" s="105"/>
      <c r="E123" s="106"/>
      <c r="F123" s="107"/>
      <c r="G123" s="87"/>
    </row>
    <row r="124" ht="15.75" customHeight="1">
      <c r="A124" s="95"/>
      <c r="B124" s="104"/>
      <c r="C124" s="97" t="str">
        <f>VLOOKUP(B124,Stock!$A$2:$B$133,2,0)</f>
        <v>#N/A</v>
      </c>
      <c r="D124" s="105"/>
      <c r="E124" s="106"/>
      <c r="F124" s="107"/>
      <c r="G124" s="87"/>
    </row>
    <row r="125" ht="15.75" customHeight="1">
      <c r="A125" s="95"/>
      <c r="B125" s="104"/>
      <c r="C125" s="97" t="str">
        <f>VLOOKUP(B125,Stock!$A$2:$B$133,2,0)</f>
        <v>#N/A</v>
      </c>
      <c r="D125" s="105"/>
      <c r="E125" s="106"/>
      <c r="F125" s="107"/>
      <c r="G125" s="87"/>
    </row>
    <row r="126" ht="15.75" customHeight="1">
      <c r="A126" s="95"/>
      <c r="B126" s="104"/>
      <c r="C126" s="97" t="str">
        <f>VLOOKUP(B126,Stock!$A$2:$B$133,2,0)</f>
        <v>#N/A</v>
      </c>
      <c r="D126" s="105"/>
      <c r="E126" s="106"/>
      <c r="F126" s="107"/>
      <c r="G126" s="87"/>
    </row>
    <row r="127" ht="15.75" customHeight="1">
      <c r="A127" s="95"/>
      <c r="B127" s="104"/>
      <c r="C127" s="97" t="str">
        <f>VLOOKUP(B127,Stock!$A$2:$B$133,2,0)</f>
        <v>#N/A</v>
      </c>
      <c r="D127" s="105"/>
      <c r="E127" s="106"/>
      <c r="F127" s="107"/>
      <c r="G127" s="87"/>
    </row>
    <row r="128" ht="15.75" customHeight="1">
      <c r="A128" s="95"/>
      <c r="B128" s="104"/>
      <c r="C128" s="97" t="str">
        <f>VLOOKUP(B128,Stock!$A$2:$B$133,2,0)</f>
        <v>#N/A</v>
      </c>
      <c r="D128" s="105"/>
      <c r="E128" s="106"/>
      <c r="F128" s="107"/>
      <c r="G128" s="87"/>
    </row>
    <row r="129" ht="15.75" customHeight="1">
      <c r="A129" s="95"/>
      <c r="B129" s="104"/>
      <c r="C129" s="97" t="str">
        <f>VLOOKUP(B129,Stock!$A$2:$B$133,2,0)</f>
        <v>#N/A</v>
      </c>
      <c r="D129" s="105"/>
      <c r="E129" s="106"/>
      <c r="F129" s="107"/>
      <c r="G129" s="87"/>
    </row>
    <row r="130" ht="15.75" customHeight="1">
      <c r="A130" s="95"/>
      <c r="B130" s="104"/>
      <c r="C130" s="97" t="str">
        <f>VLOOKUP(B130,Stock!$A$2:$B$133,2,0)</f>
        <v>#N/A</v>
      </c>
      <c r="D130" s="105"/>
      <c r="E130" s="106"/>
      <c r="F130" s="107"/>
      <c r="G130" s="87"/>
    </row>
    <row r="131" ht="15.75" customHeight="1">
      <c r="A131" s="95"/>
      <c r="B131" s="104"/>
      <c r="C131" s="97" t="str">
        <f>VLOOKUP(B131,Stock!$A$2:$B$133,2,0)</f>
        <v>#N/A</v>
      </c>
      <c r="D131" s="105"/>
      <c r="E131" s="106"/>
      <c r="F131" s="107"/>
      <c r="G131" s="87"/>
    </row>
    <row r="132" ht="15.75" customHeight="1">
      <c r="A132" s="95"/>
      <c r="B132" s="104"/>
      <c r="C132" s="97" t="str">
        <f>VLOOKUP(B132,Stock!$A$2:$B$133,2,0)</f>
        <v>#N/A</v>
      </c>
      <c r="D132" s="105"/>
      <c r="E132" s="106"/>
      <c r="F132" s="107"/>
      <c r="G132" s="87"/>
    </row>
    <row r="133" ht="15.75" customHeight="1">
      <c r="A133" s="95"/>
      <c r="B133" s="104"/>
      <c r="C133" s="97" t="str">
        <f>VLOOKUP(B133,Stock!$A$2:$B$133,2,0)</f>
        <v>#N/A</v>
      </c>
      <c r="D133" s="105"/>
      <c r="E133" s="106"/>
      <c r="F133" s="107"/>
      <c r="G133" s="87"/>
    </row>
    <row r="134" ht="15.75" customHeight="1">
      <c r="A134" s="95"/>
      <c r="B134" s="104"/>
      <c r="C134" s="97" t="str">
        <f>VLOOKUP(B134,Stock!$A$2:$B$133,2,0)</f>
        <v>#N/A</v>
      </c>
      <c r="D134" s="105"/>
      <c r="E134" s="106"/>
      <c r="F134" s="107"/>
      <c r="G134" s="87"/>
    </row>
    <row r="135" ht="15.75" customHeight="1">
      <c r="A135" s="95"/>
      <c r="B135" s="104"/>
      <c r="C135" s="97" t="str">
        <f>VLOOKUP(B135,Stock!$A$2:$B$133,2,0)</f>
        <v>#N/A</v>
      </c>
      <c r="D135" s="105"/>
      <c r="E135" s="106"/>
      <c r="F135" s="107"/>
      <c r="G135" s="87"/>
    </row>
    <row r="136" ht="15.75" customHeight="1">
      <c r="A136" s="95"/>
      <c r="B136" s="104"/>
      <c r="C136" s="97" t="str">
        <f>VLOOKUP(B136,Stock!$A$2:$B$133,2,0)</f>
        <v>#N/A</v>
      </c>
      <c r="D136" s="105"/>
      <c r="E136" s="106"/>
      <c r="F136" s="107"/>
      <c r="G136" s="87"/>
    </row>
    <row r="137" ht="15.75" customHeight="1">
      <c r="A137" s="95"/>
      <c r="B137" s="104"/>
      <c r="C137" s="97" t="str">
        <f>VLOOKUP(B137,Stock!$A$2:$B$133,2,0)</f>
        <v>#N/A</v>
      </c>
      <c r="D137" s="105"/>
      <c r="E137" s="106"/>
      <c r="F137" s="107"/>
      <c r="G137" s="87"/>
    </row>
    <row r="138" ht="15.75" customHeight="1">
      <c r="A138" s="95"/>
      <c r="B138" s="104"/>
      <c r="C138" s="97" t="str">
        <f>VLOOKUP(B138,Stock!$A$2:$B$133,2,0)</f>
        <v>#N/A</v>
      </c>
      <c r="D138" s="105"/>
      <c r="E138" s="106"/>
      <c r="F138" s="107"/>
      <c r="G138" s="87"/>
    </row>
    <row r="139" ht="15.75" customHeight="1">
      <c r="A139" s="95"/>
      <c r="B139" s="104"/>
      <c r="C139" s="97" t="str">
        <f>VLOOKUP(B139,Stock!$A$2:$B$133,2,0)</f>
        <v>#N/A</v>
      </c>
      <c r="D139" s="105"/>
      <c r="E139" s="106"/>
      <c r="F139" s="107"/>
      <c r="G139" s="87"/>
    </row>
    <row r="140" ht="15.75" customHeight="1">
      <c r="A140" s="95"/>
      <c r="B140" s="104"/>
      <c r="C140" s="97" t="str">
        <f>VLOOKUP(B140,Stock!$A$2:$B$133,2,0)</f>
        <v>#N/A</v>
      </c>
      <c r="D140" s="105"/>
      <c r="E140" s="106"/>
      <c r="F140" s="107"/>
      <c r="G140" s="87"/>
    </row>
    <row r="141" ht="15.75" customHeight="1">
      <c r="A141" s="95"/>
      <c r="B141" s="104"/>
      <c r="C141" s="97" t="str">
        <f>VLOOKUP(B141,Stock!$A$2:$B$133,2,0)</f>
        <v>#N/A</v>
      </c>
      <c r="D141" s="105"/>
      <c r="E141" s="106"/>
      <c r="F141" s="107"/>
      <c r="G141" s="87"/>
    </row>
    <row r="142" ht="15.75" customHeight="1">
      <c r="A142" s="95"/>
      <c r="B142" s="104"/>
      <c r="C142" s="97" t="str">
        <f>VLOOKUP(B142,Stock!$A$2:$B$133,2,0)</f>
        <v>#N/A</v>
      </c>
      <c r="D142" s="105"/>
      <c r="E142" s="106"/>
      <c r="F142" s="107"/>
      <c r="G142" s="87"/>
    </row>
    <row r="143" ht="15.75" customHeight="1">
      <c r="A143" s="95"/>
      <c r="B143" s="104"/>
      <c r="C143" s="97" t="str">
        <f>VLOOKUP(B143,Stock!$A$2:$B$133,2,0)</f>
        <v>#N/A</v>
      </c>
      <c r="D143" s="105"/>
      <c r="E143" s="106"/>
      <c r="F143" s="107"/>
      <c r="G143" s="87"/>
    </row>
    <row r="144" ht="15.75" customHeight="1">
      <c r="A144" s="95"/>
      <c r="B144" s="104"/>
      <c r="C144" s="97" t="str">
        <f>VLOOKUP(B144,Stock!$A$2:$B$133,2,0)</f>
        <v>#N/A</v>
      </c>
      <c r="D144" s="105"/>
      <c r="E144" s="106"/>
      <c r="F144" s="107"/>
      <c r="G144" s="87"/>
    </row>
    <row r="145" ht="15.75" customHeight="1">
      <c r="A145" s="95"/>
      <c r="B145" s="104"/>
      <c r="C145" s="97" t="str">
        <f>VLOOKUP(B145,Stock!$A$2:$B$133,2,0)</f>
        <v>#N/A</v>
      </c>
      <c r="D145" s="105"/>
      <c r="E145" s="106"/>
      <c r="F145" s="107"/>
      <c r="G145" s="87"/>
    </row>
    <row r="146" ht="15.75" customHeight="1">
      <c r="A146" s="95"/>
      <c r="B146" s="104"/>
      <c r="C146" s="97" t="str">
        <f>VLOOKUP(B146,Stock!$A$2:$B$133,2,0)</f>
        <v>#N/A</v>
      </c>
      <c r="D146" s="105"/>
      <c r="E146" s="106"/>
      <c r="F146" s="107"/>
      <c r="G146" s="87"/>
    </row>
    <row r="147" ht="15.75" customHeight="1">
      <c r="A147" s="95"/>
      <c r="B147" s="104"/>
      <c r="C147" s="97" t="str">
        <f>VLOOKUP(B147,Stock!$A$2:$B$133,2,0)</f>
        <v>#N/A</v>
      </c>
      <c r="D147" s="105"/>
      <c r="E147" s="106"/>
      <c r="F147" s="107"/>
      <c r="G147" s="87"/>
    </row>
    <row r="148" ht="15.75" customHeight="1">
      <c r="A148" s="95"/>
      <c r="B148" s="104"/>
      <c r="C148" s="97" t="str">
        <f>VLOOKUP(B148,Stock!$A$2:$B$133,2,0)</f>
        <v>#N/A</v>
      </c>
      <c r="D148" s="105"/>
      <c r="E148" s="106"/>
      <c r="F148" s="107"/>
      <c r="G148" s="87"/>
    </row>
    <row r="149" ht="15.75" customHeight="1">
      <c r="A149" s="95"/>
      <c r="B149" s="104"/>
      <c r="C149" s="97" t="str">
        <f>VLOOKUP(B149,Stock!$A$2:$B$133,2,0)</f>
        <v>#N/A</v>
      </c>
      <c r="D149" s="105"/>
      <c r="E149" s="106"/>
      <c r="F149" s="107"/>
      <c r="G149" s="87"/>
    </row>
    <row r="150" ht="15.75" customHeight="1">
      <c r="A150" s="95"/>
      <c r="B150" s="104"/>
      <c r="C150" s="97" t="str">
        <f>VLOOKUP(B150,Stock!$A$2:$B$133,2,0)</f>
        <v>#N/A</v>
      </c>
      <c r="D150" s="105"/>
      <c r="E150" s="106"/>
      <c r="F150" s="107"/>
      <c r="G150" s="87"/>
    </row>
    <row r="151" ht="15.75" customHeight="1">
      <c r="A151" s="95"/>
      <c r="B151" s="104"/>
      <c r="C151" s="97" t="str">
        <f>VLOOKUP(B151,Stock!$A$2:$B$133,2,0)</f>
        <v>#N/A</v>
      </c>
      <c r="D151" s="105"/>
      <c r="E151" s="106"/>
      <c r="F151" s="107"/>
      <c r="G151" s="87"/>
    </row>
    <row r="152" ht="15.75" customHeight="1">
      <c r="A152" s="95"/>
      <c r="B152" s="104"/>
      <c r="C152" s="97" t="str">
        <f>VLOOKUP(B152,Stock!$A$2:$B$133,2,0)</f>
        <v>#N/A</v>
      </c>
      <c r="D152" s="105"/>
      <c r="E152" s="106"/>
      <c r="F152" s="107"/>
      <c r="G152" s="87"/>
    </row>
    <row r="153" ht="15.75" customHeight="1">
      <c r="A153" s="95"/>
      <c r="B153" s="104"/>
      <c r="C153" s="97" t="str">
        <f>VLOOKUP(B153,Stock!$A$2:$B$133,2,0)</f>
        <v>#N/A</v>
      </c>
      <c r="D153" s="105"/>
      <c r="E153" s="106"/>
      <c r="F153" s="107"/>
      <c r="G153" s="87"/>
    </row>
    <row r="154" ht="15.75" customHeight="1">
      <c r="A154" s="95"/>
      <c r="B154" s="104"/>
      <c r="C154" s="97" t="str">
        <f>VLOOKUP(B154,Stock!$A$2:$B$133,2,0)</f>
        <v>#N/A</v>
      </c>
      <c r="D154" s="105"/>
      <c r="E154" s="106"/>
      <c r="F154" s="107"/>
      <c r="G154" s="87"/>
    </row>
    <row r="155" ht="15.75" customHeight="1">
      <c r="A155" s="95"/>
      <c r="B155" s="104"/>
      <c r="C155" s="97" t="str">
        <f>VLOOKUP(B155,Stock!$A$2:$B$133,2,0)</f>
        <v>#N/A</v>
      </c>
      <c r="D155" s="105"/>
      <c r="E155" s="106"/>
      <c r="F155" s="107"/>
      <c r="G155" s="87"/>
    </row>
    <row r="156" ht="15.75" customHeight="1">
      <c r="A156" s="95"/>
      <c r="B156" s="104"/>
      <c r="C156" s="97" t="str">
        <f>VLOOKUP(B156,Stock!$A$2:$B$133,2,0)</f>
        <v>#N/A</v>
      </c>
      <c r="D156" s="105"/>
      <c r="E156" s="106"/>
      <c r="F156" s="107"/>
      <c r="G156" s="87"/>
    </row>
    <row r="157" ht="15.75" customHeight="1">
      <c r="A157" s="95"/>
      <c r="B157" s="104"/>
      <c r="C157" s="97" t="str">
        <f>VLOOKUP(B157,Stock!$A$2:$B$133,2,0)</f>
        <v>#N/A</v>
      </c>
      <c r="D157" s="105"/>
      <c r="E157" s="106"/>
      <c r="F157" s="107"/>
      <c r="G157" s="87"/>
    </row>
    <row r="158" ht="15.75" customHeight="1">
      <c r="A158" s="95"/>
      <c r="B158" s="104"/>
      <c r="C158" s="97" t="str">
        <f>VLOOKUP(B158,Stock!$A$2:$B$133,2,0)</f>
        <v>#N/A</v>
      </c>
      <c r="D158" s="105"/>
      <c r="E158" s="106"/>
      <c r="F158" s="107"/>
      <c r="G158" s="87"/>
    </row>
    <row r="159" ht="15.75" customHeight="1">
      <c r="A159" s="95"/>
      <c r="B159" s="104"/>
      <c r="C159" s="97" t="str">
        <f>VLOOKUP(B159,Stock!$A$2:$B$133,2,0)</f>
        <v>#N/A</v>
      </c>
      <c r="D159" s="105"/>
      <c r="E159" s="106"/>
      <c r="F159" s="107"/>
      <c r="G159" s="87"/>
    </row>
    <row r="160" ht="15.75" customHeight="1">
      <c r="A160" s="95"/>
      <c r="B160" s="104"/>
      <c r="C160" s="97" t="str">
        <f>VLOOKUP(B160,Stock!$A$2:$B$133,2,0)</f>
        <v>#N/A</v>
      </c>
      <c r="D160" s="105"/>
      <c r="E160" s="106"/>
      <c r="F160" s="107"/>
      <c r="G160" s="87"/>
    </row>
    <row r="161" ht="15.75" customHeight="1">
      <c r="A161" s="95"/>
      <c r="B161" s="104"/>
      <c r="C161" s="97" t="str">
        <f>VLOOKUP(B161,Stock!$A$2:$B$133,2,0)</f>
        <v>#N/A</v>
      </c>
      <c r="D161" s="105"/>
      <c r="E161" s="106"/>
      <c r="F161" s="107"/>
      <c r="G161" s="87"/>
    </row>
    <row r="162" ht="15.75" customHeight="1">
      <c r="A162" s="95"/>
      <c r="B162" s="104"/>
      <c r="C162" s="97" t="str">
        <f>VLOOKUP(B162,Stock!$A$2:$B$133,2,0)</f>
        <v>#N/A</v>
      </c>
      <c r="D162" s="105"/>
      <c r="E162" s="106"/>
      <c r="F162" s="107"/>
      <c r="G162" s="87"/>
    </row>
    <row r="163" ht="15.75" customHeight="1">
      <c r="A163" s="95"/>
      <c r="B163" s="104"/>
      <c r="C163" s="97" t="str">
        <f>VLOOKUP(B163,Stock!$A$2:$B$133,2,0)</f>
        <v>#N/A</v>
      </c>
      <c r="D163" s="105"/>
      <c r="E163" s="106"/>
      <c r="F163" s="107"/>
      <c r="G163" s="87"/>
    </row>
    <row r="164" ht="15.75" customHeight="1">
      <c r="A164" s="95"/>
      <c r="B164" s="104"/>
      <c r="C164" s="97" t="str">
        <f>VLOOKUP(B164,Stock!$A$2:$B$133,2,0)</f>
        <v>#N/A</v>
      </c>
      <c r="D164" s="105"/>
      <c r="E164" s="106"/>
      <c r="F164" s="107"/>
      <c r="G164" s="87"/>
    </row>
    <row r="165" ht="15.75" customHeight="1">
      <c r="A165" s="95"/>
      <c r="B165" s="104"/>
      <c r="C165" s="97" t="str">
        <f>VLOOKUP(B165,Stock!$A$2:$B$133,2,0)</f>
        <v>#N/A</v>
      </c>
      <c r="D165" s="105"/>
      <c r="E165" s="106"/>
      <c r="F165" s="107"/>
      <c r="G165" s="87"/>
    </row>
    <row r="166" ht="15.75" customHeight="1">
      <c r="A166" s="95"/>
      <c r="B166" s="104"/>
      <c r="C166" s="97" t="str">
        <f>VLOOKUP(B166,Stock!$A$2:$B$133,2,0)</f>
        <v>#N/A</v>
      </c>
      <c r="D166" s="105"/>
      <c r="E166" s="106"/>
      <c r="F166" s="107"/>
      <c r="G166" s="87"/>
    </row>
    <row r="167" ht="15.75" customHeight="1">
      <c r="A167" s="95"/>
      <c r="B167" s="104"/>
      <c r="C167" s="97" t="str">
        <f>VLOOKUP(B167,Stock!$A$2:$B$133,2,0)</f>
        <v>#N/A</v>
      </c>
      <c r="D167" s="105"/>
      <c r="E167" s="106"/>
      <c r="F167" s="107"/>
      <c r="G167" s="87"/>
    </row>
    <row r="168" ht="15.75" customHeight="1">
      <c r="A168" s="95"/>
      <c r="B168" s="104"/>
      <c r="C168" s="97" t="str">
        <f>VLOOKUP(B168,Stock!$A$2:$B$133,2,0)</f>
        <v>#N/A</v>
      </c>
      <c r="D168" s="105"/>
      <c r="E168" s="106"/>
      <c r="F168" s="107"/>
      <c r="G168" s="87"/>
    </row>
    <row r="169" ht="15.75" customHeight="1">
      <c r="A169" s="95"/>
      <c r="B169" s="104"/>
      <c r="C169" s="97" t="str">
        <f>VLOOKUP(B169,Stock!$A$2:$B$133,2,0)</f>
        <v>#N/A</v>
      </c>
      <c r="D169" s="105"/>
      <c r="E169" s="106"/>
      <c r="F169" s="107"/>
      <c r="G169" s="87"/>
    </row>
    <row r="170" ht="15.75" customHeight="1">
      <c r="A170" s="95"/>
      <c r="B170" s="104"/>
      <c r="C170" s="97" t="str">
        <f>VLOOKUP(B170,Stock!$A$2:$B$133,2,0)</f>
        <v>#N/A</v>
      </c>
      <c r="D170" s="105"/>
      <c r="E170" s="106"/>
      <c r="F170" s="107"/>
      <c r="G170" s="87"/>
    </row>
    <row r="171" ht="15.75" customHeight="1">
      <c r="A171" s="95"/>
      <c r="B171" s="104"/>
      <c r="C171" s="97" t="str">
        <f>VLOOKUP(B171,Stock!$A$2:$B$133,2,0)</f>
        <v>#N/A</v>
      </c>
      <c r="D171" s="105"/>
      <c r="E171" s="106"/>
      <c r="F171" s="107"/>
      <c r="G171" s="87"/>
    </row>
    <row r="172" ht="15.75" customHeight="1">
      <c r="A172" s="95"/>
      <c r="B172" s="104"/>
      <c r="C172" s="97" t="str">
        <f>VLOOKUP(B172,Stock!$A$2:$B$133,2,0)</f>
        <v>#N/A</v>
      </c>
      <c r="D172" s="105"/>
      <c r="E172" s="106"/>
      <c r="F172" s="107"/>
      <c r="G172" s="87"/>
    </row>
    <row r="173" ht="15.75" customHeight="1">
      <c r="A173" s="95"/>
      <c r="B173" s="104"/>
      <c r="C173" s="97" t="str">
        <f>VLOOKUP(B173,Stock!$A$2:$B$133,2,0)</f>
        <v>#N/A</v>
      </c>
      <c r="D173" s="105"/>
      <c r="E173" s="106"/>
      <c r="F173" s="107"/>
      <c r="G173" s="87"/>
    </row>
    <row r="174" ht="15.75" customHeight="1">
      <c r="A174" s="95"/>
      <c r="B174" s="104"/>
      <c r="C174" s="97" t="str">
        <f>VLOOKUP(B174,Stock!$A$2:$B$133,2,0)</f>
        <v>#N/A</v>
      </c>
      <c r="D174" s="105"/>
      <c r="E174" s="106"/>
      <c r="F174" s="107"/>
      <c r="G174" s="87"/>
    </row>
    <row r="175" ht="15.75" customHeight="1">
      <c r="A175" s="95"/>
      <c r="B175" s="104"/>
      <c r="C175" s="97" t="str">
        <f>VLOOKUP(B175,Stock!$A$2:$B$133,2,0)</f>
        <v>#N/A</v>
      </c>
      <c r="D175" s="105"/>
      <c r="E175" s="106"/>
      <c r="F175" s="107"/>
      <c r="G175" s="87"/>
    </row>
    <row r="176" ht="15.75" customHeight="1">
      <c r="A176" s="95"/>
      <c r="B176" s="104"/>
      <c r="C176" s="97" t="str">
        <f>VLOOKUP(B176,Stock!$A$2:$B$133,2,0)</f>
        <v>#N/A</v>
      </c>
      <c r="D176" s="105"/>
      <c r="E176" s="106"/>
      <c r="F176" s="107"/>
      <c r="G176" s="87"/>
    </row>
    <row r="177" ht="15.75" customHeight="1">
      <c r="A177" s="95"/>
      <c r="B177" s="104"/>
      <c r="C177" s="97" t="str">
        <f>VLOOKUP(B177,Stock!$A$2:$B$133,2,0)</f>
        <v>#N/A</v>
      </c>
      <c r="D177" s="105"/>
      <c r="E177" s="106"/>
      <c r="F177" s="107"/>
      <c r="G177" s="87"/>
    </row>
    <row r="178" ht="15.75" customHeight="1">
      <c r="A178" s="95"/>
      <c r="B178" s="104"/>
      <c r="C178" s="97" t="str">
        <f>VLOOKUP(B178,Stock!$A$2:$B$133,2,0)</f>
        <v>#N/A</v>
      </c>
      <c r="D178" s="105"/>
      <c r="E178" s="106"/>
      <c r="F178" s="107"/>
      <c r="G178" s="87"/>
    </row>
    <row r="179" ht="15.75" customHeight="1">
      <c r="A179" s="95"/>
      <c r="B179" s="104"/>
      <c r="C179" s="97" t="str">
        <f>VLOOKUP(B179,Stock!$A$2:$B$133,2,0)</f>
        <v>#N/A</v>
      </c>
      <c r="D179" s="105"/>
      <c r="E179" s="106"/>
      <c r="F179" s="107"/>
      <c r="G179" s="87"/>
    </row>
    <row r="180" ht="15.75" customHeight="1">
      <c r="A180" s="95"/>
      <c r="B180" s="104"/>
      <c r="C180" s="97" t="str">
        <f>VLOOKUP(B180,Stock!$A$2:$B$133,2,0)</f>
        <v>#N/A</v>
      </c>
      <c r="D180" s="105"/>
      <c r="E180" s="106"/>
      <c r="F180" s="107"/>
      <c r="G180" s="87"/>
    </row>
    <row r="181" ht="15.75" customHeight="1">
      <c r="A181" s="95"/>
      <c r="B181" s="104"/>
      <c r="C181" s="97" t="str">
        <f>VLOOKUP(B181,Stock!$A$2:$B$133,2,0)</f>
        <v>#N/A</v>
      </c>
      <c r="D181" s="105"/>
      <c r="E181" s="106"/>
      <c r="F181" s="107"/>
      <c r="G181" s="87"/>
    </row>
    <row r="182" ht="15.75" customHeight="1">
      <c r="A182" s="95"/>
      <c r="B182" s="104"/>
      <c r="C182" s="97" t="str">
        <f>VLOOKUP(B182,Stock!$A$2:$B$133,2,0)</f>
        <v>#N/A</v>
      </c>
      <c r="D182" s="105"/>
      <c r="E182" s="106"/>
      <c r="F182" s="107"/>
      <c r="G182" s="87"/>
    </row>
    <row r="183" ht="15.75" customHeight="1">
      <c r="A183" s="95"/>
      <c r="B183" s="104"/>
      <c r="C183" s="97" t="str">
        <f>VLOOKUP(B183,Stock!$A$2:$B$133,2,0)</f>
        <v>#N/A</v>
      </c>
      <c r="D183" s="105"/>
      <c r="E183" s="106"/>
      <c r="F183" s="107"/>
      <c r="G183" s="87"/>
    </row>
    <row r="184" ht="15.75" customHeight="1">
      <c r="A184" s="95"/>
      <c r="B184" s="104"/>
      <c r="C184" s="97" t="str">
        <f>VLOOKUP(B184,Stock!$A$2:$B$133,2,0)</f>
        <v>#N/A</v>
      </c>
      <c r="D184" s="105"/>
      <c r="E184" s="106"/>
      <c r="F184" s="107"/>
      <c r="G184" s="87"/>
    </row>
    <row r="185" ht="15.75" customHeight="1">
      <c r="A185" s="95"/>
      <c r="B185" s="104"/>
      <c r="C185" s="97" t="str">
        <f>VLOOKUP(B185,Stock!$A$2:$B$133,2,0)</f>
        <v>#N/A</v>
      </c>
      <c r="D185" s="105"/>
      <c r="E185" s="106"/>
      <c r="F185" s="107"/>
      <c r="G185" s="87"/>
    </row>
    <row r="186" ht="15.75" customHeight="1">
      <c r="A186" s="95"/>
      <c r="B186" s="104"/>
      <c r="C186" s="97" t="str">
        <f>VLOOKUP(B186,Stock!$A$2:$B$133,2,0)</f>
        <v>#N/A</v>
      </c>
      <c r="D186" s="105"/>
      <c r="E186" s="106"/>
      <c r="F186" s="107"/>
      <c r="G186" s="87"/>
    </row>
    <row r="187" ht="15.75" customHeight="1">
      <c r="A187" s="95"/>
      <c r="B187" s="104"/>
      <c r="C187" s="97" t="str">
        <f>VLOOKUP(B187,Stock!$A$2:$B$133,2,0)</f>
        <v>#N/A</v>
      </c>
      <c r="D187" s="105"/>
      <c r="E187" s="106"/>
      <c r="F187" s="107"/>
      <c r="G187" s="87"/>
    </row>
    <row r="188" ht="15.75" customHeight="1">
      <c r="A188" s="95"/>
      <c r="B188" s="104"/>
      <c r="C188" s="97" t="str">
        <f>VLOOKUP(B188,Stock!$A$2:$B$133,2,0)</f>
        <v>#N/A</v>
      </c>
      <c r="D188" s="105"/>
      <c r="E188" s="106"/>
      <c r="F188" s="107"/>
      <c r="G188" s="87"/>
    </row>
    <row r="189" ht="15.75" customHeight="1">
      <c r="A189" s="95"/>
      <c r="B189" s="104"/>
      <c r="C189" s="97" t="str">
        <f>VLOOKUP(B189,Stock!$A$2:$B$133,2,0)</f>
        <v>#N/A</v>
      </c>
      <c r="D189" s="105"/>
      <c r="E189" s="106"/>
      <c r="F189" s="107"/>
      <c r="G189" s="87"/>
    </row>
    <row r="190" ht="15.75" customHeight="1">
      <c r="A190" s="95"/>
      <c r="B190" s="104"/>
      <c r="C190" s="97" t="str">
        <f>VLOOKUP(B190,Stock!$A$2:$B$133,2,0)</f>
        <v>#N/A</v>
      </c>
      <c r="D190" s="105"/>
      <c r="E190" s="106"/>
      <c r="F190" s="107"/>
      <c r="G190" s="87"/>
    </row>
    <row r="191" ht="15.75" customHeight="1">
      <c r="A191" s="95"/>
      <c r="B191" s="104"/>
      <c r="C191" s="97" t="str">
        <f>VLOOKUP(B191,Stock!$A$2:$B$133,2,0)</f>
        <v>#N/A</v>
      </c>
      <c r="D191" s="105"/>
      <c r="E191" s="106"/>
      <c r="F191" s="107"/>
      <c r="G191" s="87"/>
    </row>
    <row r="192" ht="15.75" customHeight="1">
      <c r="A192" s="95"/>
      <c r="B192" s="104"/>
      <c r="C192" s="97" t="str">
        <f>VLOOKUP(B192,Stock!$A$2:$B$133,2,0)</f>
        <v>#N/A</v>
      </c>
      <c r="D192" s="105"/>
      <c r="E192" s="106"/>
      <c r="F192" s="107"/>
      <c r="G192" s="87"/>
    </row>
    <row r="193" ht="15.75" customHeight="1">
      <c r="A193" s="95"/>
      <c r="B193" s="104"/>
      <c r="C193" s="97" t="str">
        <f>VLOOKUP(B193,Stock!$A$2:$B$133,2,0)</f>
        <v>#N/A</v>
      </c>
      <c r="D193" s="105"/>
      <c r="E193" s="106"/>
      <c r="F193" s="107"/>
      <c r="G193" s="87"/>
    </row>
    <row r="194" ht="15.75" customHeight="1">
      <c r="A194" s="95"/>
      <c r="B194" s="104"/>
      <c r="C194" s="97" t="str">
        <f>VLOOKUP(B194,Stock!$A$2:$B$133,2,0)</f>
        <v>#N/A</v>
      </c>
      <c r="D194" s="105"/>
      <c r="E194" s="106"/>
      <c r="F194" s="107"/>
      <c r="G194" s="87"/>
    </row>
    <row r="195" ht="15.75" customHeight="1">
      <c r="A195" s="95"/>
      <c r="B195" s="104"/>
      <c r="C195" s="97" t="str">
        <f>VLOOKUP(B195,Stock!$A$2:$B$133,2,0)</f>
        <v>#N/A</v>
      </c>
      <c r="D195" s="105"/>
      <c r="E195" s="106"/>
      <c r="F195" s="107"/>
      <c r="G195" s="87"/>
    </row>
    <row r="196" ht="15.75" customHeight="1">
      <c r="A196" s="95"/>
      <c r="B196" s="104"/>
      <c r="C196" s="97" t="str">
        <f>VLOOKUP(B196,Stock!$A$2:$B$133,2,0)</f>
        <v>#N/A</v>
      </c>
      <c r="D196" s="105"/>
      <c r="E196" s="106"/>
      <c r="F196" s="107"/>
      <c r="G196" s="87"/>
    </row>
    <row r="197" ht="15.75" customHeight="1">
      <c r="A197" s="95"/>
      <c r="B197" s="104"/>
      <c r="C197" s="97" t="str">
        <f>VLOOKUP(B197,Stock!$A$2:$B$133,2,0)</f>
        <v>#N/A</v>
      </c>
      <c r="D197" s="105"/>
      <c r="E197" s="106"/>
      <c r="F197" s="107"/>
      <c r="G197" s="87"/>
    </row>
    <row r="198" ht="15.75" customHeight="1">
      <c r="A198" s="95"/>
      <c r="B198" s="104"/>
      <c r="C198" s="97" t="str">
        <f>VLOOKUP(B198,Stock!$A$2:$B$133,2,0)</f>
        <v>#N/A</v>
      </c>
      <c r="D198" s="105"/>
      <c r="E198" s="106"/>
      <c r="F198" s="107"/>
      <c r="G198" s="87"/>
    </row>
    <row r="199" ht="15.75" customHeight="1">
      <c r="A199" s="95"/>
      <c r="B199" s="104"/>
      <c r="C199" s="97" t="str">
        <f>VLOOKUP(B199,Stock!$A$2:$B$133,2,0)</f>
        <v>#N/A</v>
      </c>
      <c r="D199" s="105"/>
      <c r="E199" s="106"/>
      <c r="F199" s="107"/>
      <c r="G199" s="87"/>
    </row>
    <row r="200" ht="15.75" customHeight="1">
      <c r="A200" s="95"/>
      <c r="B200" s="104"/>
      <c r="C200" s="97" t="str">
        <f>VLOOKUP(B200,Stock!$A$2:$B$133,2,0)</f>
        <v>#N/A</v>
      </c>
      <c r="D200" s="105"/>
      <c r="E200" s="106"/>
      <c r="F200" s="107"/>
      <c r="G200" s="87"/>
    </row>
    <row r="201" ht="15.75" customHeight="1">
      <c r="A201" s="95"/>
      <c r="B201" s="104"/>
      <c r="C201" s="97" t="str">
        <f>VLOOKUP(B201,Stock!$A$2:$B$133,2,0)</f>
        <v>#N/A</v>
      </c>
      <c r="D201" s="105"/>
      <c r="E201" s="106"/>
      <c r="F201" s="107"/>
      <c r="G201" s="87"/>
    </row>
    <row r="202" ht="15.75" customHeight="1">
      <c r="A202" s="95"/>
      <c r="B202" s="104"/>
      <c r="C202" s="97" t="str">
        <f>VLOOKUP(B202,Stock!$A$2:$B$133,2,0)</f>
        <v>#N/A</v>
      </c>
      <c r="D202" s="105"/>
      <c r="E202" s="106"/>
      <c r="F202" s="107"/>
      <c r="G202" s="87"/>
    </row>
    <row r="203" ht="15.75" customHeight="1">
      <c r="A203" s="95"/>
      <c r="B203" s="104"/>
      <c r="C203" s="97" t="str">
        <f>VLOOKUP(B203,Stock!$A$2:$B$133,2,0)</f>
        <v>#N/A</v>
      </c>
      <c r="D203" s="105"/>
      <c r="E203" s="106"/>
      <c r="F203" s="107"/>
      <c r="G203" s="87"/>
    </row>
    <row r="204" ht="15.75" customHeight="1">
      <c r="A204" s="95"/>
      <c r="B204" s="104"/>
      <c r="C204" s="97" t="str">
        <f>VLOOKUP(B204,Stock!$A$2:$B$133,2,0)</f>
        <v>#N/A</v>
      </c>
      <c r="D204" s="105"/>
      <c r="E204" s="106"/>
      <c r="F204" s="107"/>
      <c r="G204" s="87"/>
    </row>
    <row r="205" ht="15.75" customHeight="1">
      <c r="A205" s="95"/>
      <c r="B205" s="104"/>
      <c r="C205" s="97" t="str">
        <f>VLOOKUP(B205,Stock!$A$2:$B$133,2,0)</f>
        <v>#N/A</v>
      </c>
      <c r="D205" s="105"/>
      <c r="E205" s="106"/>
      <c r="F205" s="107"/>
      <c r="G205" s="87"/>
    </row>
    <row r="206" ht="15.75" customHeight="1">
      <c r="A206" s="95"/>
      <c r="B206" s="104"/>
      <c r="C206" s="97" t="str">
        <f>VLOOKUP(B206,Stock!$A$2:$B$133,2,0)</f>
        <v>#N/A</v>
      </c>
      <c r="D206" s="105"/>
      <c r="E206" s="106"/>
      <c r="F206" s="107"/>
      <c r="G206" s="87"/>
    </row>
    <row r="207" ht="15.75" customHeight="1">
      <c r="A207" s="95"/>
      <c r="B207" s="104"/>
      <c r="C207" s="97" t="str">
        <f>VLOOKUP(B207,Stock!$A$2:$B$133,2,0)</f>
        <v>#N/A</v>
      </c>
      <c r="D207" s="105"/>
      <c r="E207" s="106"/>
      <c r="F207" s="107"/>
      <c r="G207" s="87"/>
    </row>
    <row r="208" ht="15.75" customHeight="1">
      <c r="A208" s="95"/>
      <c r="B208" s="104"/>
      <c r="C208" s="97" t="str">
        <f>VLOOKUP(B208,Stock!$A$2:$B$133,2,0)</f>
        <v>#N/A</v>
      </c>
      <c r="D208" s="105"/>
      <c r="E208" s="106"/>
      <c r="F208" s="107"/>
      <c r="G208" s="87"/>
    </row>
    <row r="209" ht="15.75" customHeight="1">
      <c r="A209" s="95"/>
      <c r="B209" s="104"/>
      <c r="C209" s="97" t="str">
        <f>VLOOKUP(B209,Stock!$A$2:$B$133,2,0)</f>
        <v>#N/A</v>
      </c>
      <c r="D209" s="105"/>
      <c r="E209" s="106"/>
      <c r="F209" s="107"/>
      <c r="G209" s="87"/>
    </row>
    <row r="210" ht="15.75" customHeight="1">
      <c r="A210" s="95"/>
      <c r="B210" s="104"/>
      <c r="C210" s="97" t="str">
        <f>VLOOKUP(B210,Stock!$A$2:$B$133,2,0)</f>
        <v>#N/A</v>
      </c>
      <c r="D210" s="105"/>
      <c r="E210" s="106"/>
      <c r="F210" s="107"/>
      <c r="G210" s="87"/>
    </row>
    <row r="211" ht="15.75" customHeight="1">
      <c r="A211" s="95"/>
      <c r="B211" s="104"/>
      <c r="C211" s="97" t="str">
        <f>VLOOKUP(B211,Stock!$A$2:$B$133,2,0)</f>
        <v>#N/A</v>
      </c>
      <c r="D211" s="105"/>
      <c r="E211" s="106"/>
      <c r="F211" s="107"/>
      <c r="G211" s="87"/>
    </row>
    <row r="212" ht="15.75" customHeight="1">
      <c r="A212" s="95"/>
      <c r="B212" s="104"/>
      <c r="C212" s="97" t="str">
        <f>VLOOKUP(B212,Stock!$A$2:$B$133,2,0)</f>
        <v>#N/A</v>
      </c>
      <c r="D212" s="105"/>
      <c r="E212" s="106"/>
      <c r="F212" s="107"/>
      <c r="G212" s="87"/>
    </row>
    <row r="213" ht="15.75" customHeight="1">
      <c r="A213" s="95"/>
      <c r="B213" s="104"/>
      <c r="C213" s="97" t="str">
        <f>VLOOKUP(B213,Stock!$A$2:$B$133,2,0)</f>
        <v>#N/A</v>
      </c>
      <c r="D213" s="105"/>
      <c r="E213" s="106"/>
      <c r="F213" s="107"/>
      <c r="G213" s="87"/>
    </row>
    <row r="214" ht="15.75" customHeight="1">
      <c r="A214" s="95"/>
      <c r="B214" s="104"/>
      <c r="C214" s="97" t="str">
        <f>VLOOKUP(B214,Stock!$A$2:$B$133,2,0)</f>
        <v>#N/A</v>
      </c>
      <c r="D214" s="105"/>
      <c r="E214" s="106"/>
      <c r="F214" s="107"/>
      <c r="G214" s="87"/>
    </row>
    <row r="215" ht="15.75" customHeight="1">
      <c r="A215" s="95"/>
      <c r="B215" s="104"/>
      <c r="C215" s="97" t="str">
        <f>VLOOKUP(B215,Stock!$A$2:$B$133,2,0)</f>
        <v>#N/A</v>
      </c>
      <c r="D215" s="105"/>
      <c r="E215" s="106"/>
      <c r="F215" s="107"/>
      <c r="G215" s="87"/>
    </row>
    <row r="216" ht="15.75" customHeight="1">
      <c r="A216" s="95"/>
      <c r="B216" s="104"/>
      <c r="C216" s="97" t="str">
        <f>VLOOKUP(B216,Stock!$A$2:$B$133,2,0)</f>
        <v>#N/A</v>
      </c>
      <c r="D216" s="105"/>
      <c r="E216" s="106"/>
      <c r="F216" s="107"/>
      <c r="G216" s="87"/>
    </row>
    <row r="217" ht="15.75" customHeight="1">
      <c r="A217" s="95"/>
      <c r="B217" s="104"/>
      <c r="C217" s="97" t="str">
        <f>VLOOKUP(B217,Stock!$A$2:$B$133,2,0)</f>
        <v>#N/A</v>
      </c>
      <c r="D217" s="105"/>
      <c r="E217" s="106"/>
      <c r="F217" s="107"/>
      <c r="G217" s="87"/>
    </row>
    <row r="218" ht="15.75" customHeight="1">
      <c r="A218" s="95"/>
      <c r="B218" s="104"/>
      <c r="C218" s="97" t="str">
        <f>VLOOKUP(B218,Stock!$A$2:$B$133,2,0)</f>
        <v>#N/A</v>
      </c>
      <c r="D218" s="105"/>
      <c r="E218" s="106"/>
      <c r="F218" s="107"/>
      <c r="G218" s="87"/>
    </row>
    <row r="219" ht="15.75" customHeight="1">
      <c r="A219" s="95"/>
      <c r="B219" s="104"/>
      <c r="C219" s="97" t="str">
        <f>VLOOKUP(B219,Stock!$A$2:$B$133,2,0)</f>
        <v>#N/A</v>
      </c>
      <c r="D219" s="105"/>
      <c r="E219" s="106"/>
      <c r="F219" s="107"/>
      <c r="G219" s="87"/>
    </row>
    <row r="220" ht="15.75" customHeight="1">
      <c r="A220" s="95"/>
      <c r="B220" s="104"/>
      <c r="C220" s="97" t="str">
        <f>VLOOKUP(B220,Stock!$A$2:$B$133,2,0)</f>
        <v>#N/A</v>
      </c>
      <c r="D220" s="105"/>
      <c r="E220" s="106"/>
      <c r="F220" s="107"/>
      <c r="G220" s="87"/>
    </row>
    <row r="221" ht="15.75" customHeight="1">
      <c r="A221" s="95"/>
      <c r="B221" s="104"/>
      <c r="C221" s="97" t="str">
        <f>VLOOKUP(B221,Stock!$A$2:$B$133,2,0)</f>
        <v>#N/A</v>
      </c>
      <c r="D221" s="105"/>
      <c r="E221" s="106"/>
      <c r="F221" s="107"/>
      <c r="G221" s="87"/>
    </row>
    <row r="222" ht="15.75" customHeight="1">
      <c r="A222" s="95"/>
      <c r="B222" s="104"/>
      <c r="C222" s="97" t="str">
        <f>VLOOKUP(B222,Stock!$A$2:$B$133,2,0)</f>
        <v>#N/A</v>
      </c>
      <c r="D222" s="105"/>
      <c r="E222" s="106"/>
      <c r="F222" s="107"/>
      <c r="G222" s="87"/>
    </row>
    <row r="223" ht="15.75" customHeight="1">
      <c r="A223" s="95"/>
      <c r="B223" s="104"/>
      <c r="C223" s="97" t="str">
        <f>VLOOKUP(B223,Stock!$A$2:$B$133,2,0)</f>
        <v>#N/A</v>
      </c>
      <c r="D223" s="105"/>
      <c r="E223" s="106"/>
      <c r="F223" s="107"/>
      <c r="G223" s="87"/>
    </row>
    <row r="224" ht="15.75" customHeight="1">
      <c r="A224" s="95"/>
      <c r="B224" s="104"/>
      <c r="C224" s="97" t="str">
        <f>VLOOKUP(B224,Stock!$A$2:$B$133,2,0)</f>
        <v>#N/A</v>
      </c>
      <c r="D224" s="105"/>
      <c r="E224" s="106"/>
      <c r="F224" s="107"/>
      <c r="G224" s="87"/>
    </row>
    <row r="225" ht="15.75" customHeight="1">
      <c r="A225" s="95"/>
      <c r="B225" s="104"/>
      <c r="C225" s="97" t="str">
        <f>VLOOKUP(B225,Stock!$A$2:$B$133,2,0)</f>
        <v>#N/A</v>
      </c>
      <c r="D225" s="105"/>
      <c r="E225" s="106"/>
      <c r="F225" s="107"/>
      <c r="G225" s="87"/>
    </row>
    <row r="226" ht="15.75" customHeight="1">
      <c r="A226" s="95"/>
      <c r="B226" s="104"/>
      <c r="C226" s="97" t="str">
        <f>VLOOKUP(B226,Stock!$A$2:$B$133,2,0)</f>
        <v>#N/A</v>
      </c>
      <c r="D226" s="105"/>
      <c r="E226" s="106"/>
      <c r="F226" s="107"/>
      <c r="G226" s="87"/>
    </row>
    <row r="227" ht="15.75" customHeight="1">
      <c r="A227" s="95"/>
      <c r="B227" s="104"/>
      <c r="C227" s="97" t="str">
        <f>VLOOKUP(B227,Stock!$A$2:$B$133,2,0)</f>
        <v>#N/A</v>
      </c>
      <c r="D227" s="105"/>
      <c r="E227" s="106"/>
      <c r="F227" s="107"/>
      <c r="G227" s="87"/>
    </row>
    <row r="228" ht="15.75" customHeight="1">
      <c r="A228" s="95"/>
      <c r="B228" s="104"/>
      <c r="C228" s="97" t="str">
        <f>VLOOKUP(B228,Stock!$A$2:$B$133,2,0)</f>
        <v>#N/A</v>
      </c>
      <c r="D228" s="105"/>
      <c r="E228" s="106"/>
      <c r="F228" s="107"/>
      <c r="G228" s="87"/>
    </row>
    <row r="229" ht="15.75" customHeight="1">
      <c r="A229" s="95"/>
      <c r="B229" s="104"/>
      <c r="C229" s="97" t="str">
        <f>VLOOKUP(B229,Stock!$A$2:$B$133,2,0)</f>
        <v>#N/A</v>
      </c>
      <c r="D229" s="105"/>
      <c r="E229" s="106"/>
      <c r="F229" s="107"/>
      <c r="G229" s="87"/>
    </row>
    <row r="230" ht="15.75" customHeight="1">
      <c r="A230" s="95"/>
      <c r="B230" s="104"/>
      <c r="C230" s="97" t="str">
        <f>VLOOKUP(B230,Stock!$A$2:$B$133,2,0)</f>
        <v>#N/A</v>
      </c>
      <c r="D230" s="105"/>
      <c r="E230" s="106"/>
      <c r="F230" s="107"/>
      <c r="G230" s="87"/>
    </row>
    <row r="231" ht="15.75" customHeight="1">
      <c r="A231" s="95"/>
      <c r="B231" s="104"/>
      <c r="C231" s="97" t="str">
        <f>VLOOKUP(B231,Stock!$A$2:$B$133,2,0)</f>
        <v>#N/A</v>
      </c>
      <c r="D231" s="105"/>
      <c r="E231" s="106"/>
      <c r="F231" s="107"/>
      <c r="G231" s="87"/>
    </row>
    <row r="232" ht="15.75" customHeight="1">
      <c r="A232" s="95"/>
      <c r="B232" s="104"/>
      <c r="C232" s="97" t="str">
        <f>VLOOKUP(B232,Stock!$A$2:$B$133,2,0)</f>
        <v>#N/A</v>
      </c>
      <c r="D232" s="105"/>
      <c r="E232" s="106"/>
      <c r="F232" s="107"/>
      <c r="G232" s="87"/>
    </row>
    <row r="233" ht="15.75" customHeight="1">
      <c r="A233" s="95"/>
      <c r="B233" s="104"/>
      <c r="C233" s="97" t="str">
        <f>VLOOKUP(B233,Stock!$A$2:$B$133,2,0)</f>
        <v>#N/A</v>
      </c>
      <c r="D233" s="105"/>
      <c r="E233" s="106"/>
      <c r="F233" s="107"/>
      <c r="G233" s="87"/>
    </row>
    <row r="234" ht="15.75" customHeight="1">
      <c r="A234" s="95"/>
      <c r="B234" s="104"/>
      <c r="C234" s="97" t="str">
        <f>VLOOKUP(B234,Stock!$A$2:$B$133,2,0)</f>
        <v>#N/A</v>
      </c>
      <c r="D234" s="105"/>
      <c r="E234" s="106"/>
      <c r="F234" s="107"/>
      <c r="G234" s="87"/>
    </row>
    <row r="235" ht="15.75" customHeight="1">
      <c r="A235" s="95"/>
      <c r="B235" s="104"/>
      <c r="C235" s="97" t="str">
        <f>VLOOKUP(B235,Stock!$A$2:$B$133,2,0)</f>
        <v>#N/A</v>
      </c>
      <c r="D235" s="105"/>
      <c r="E235" s="106"/>
      <c r="F235" s="107"/>
      <c r="G235" s="87"/>
    </row>
    <row r="236" ht="15.75" customHeight="1">
      <c r="A236" s="95"/>
      <c r="B236" s="104"/>
      <c r="C236" s="97" t="str">
        <f>VLOOKUP(B236,Stock!$A$2:$B$133,2,0)</f>
        <v>#N/A</v>
      </c>
      <c r="D236" s="105"/>
      <c r="E236" s="106"/>
      <c r="F236" s="107"/>
      <c r="G236" s="87"/>
    </row>
    <row r="237" ht="15.75" customHeight="1">
      <c r="A237" s="95"/>
      <c r="B237" s="104"/>
      <c r="C237" s="97" t="str">
        <f>VLOOKUP(B237,Stock!$A$2:$B$133,2,0)</f>
        <v>#N/A</v>
      </c>
      <c r="D237" s="105"/>
      <c r="E237" s="106"/>
      <c r="F237" s="107"/>
      <c r="G237" s="87"/>
    </row>
    <row r="238" ht="15.75" customHeight="1">
      <c r="A238" s="95"/>
      <c r="B238" s="104"/>
      <c r="C238" s="97" t="str">
        <f>VLOOKUP(B238,Stock!$A$2:$B$133,2,0)</f>
        <v>#N/A</v>
      </c>
      <c r="D238" s="105"/>
      <c r="E238" s="106"/>
      <c r="F238" s="107"/>
      <c r="G238" s="87"/>
    </row>
    <row r="239" ht="15.75" customHeight="1">
      <c r="A239" s="95"/>
      <c r="B239" s="104"/>
      <c r="C239" s="97" t="str">
        <f>VLOOKUP(B239,Stock!$A$2:$B$133,2,0)</f>
        <v>#N/A</v>
      </c>
      <c r="D239" s="105"/>
      <c r="E239" s="106"/>
      <c r="F239" s="107"/>
      <c r="G239" s="87"/>
    </row>
    <row r="240" ht="15.75" customHeight="1">
      <c r="A240" s="95"/>
      <c r="B240" s="104"/>
      <c r="C240" s="97" t="str">
        <f>VLOOKUP(B240,Stock!$A$2:$B$133,2,0)</f>
        <v>#N/A</v>
      </c>
      <c r="D240" s="105"/>
      <c r="E240" s="106"/>
      <c r="F240" s="107"/>
      <c r="G240" s="87"/>
    </row>
    <row r="241" ht="15.75" customHeight="1">
      <c r="A241" s="95"/>
      <c r="B241" s="104"/>
      <c r="C241" s="97" t="str">
        <f>VLOOKUP(B241,Stock!$A$2:$B$133,2,0)</f>
        <v>#N/A</v>
      </c>
      <c r="D241" s="105"/>
      <c r="E241" s="106"/>
      <c r="F241" s="107"/>
      <c r="G241" s="87"/>
    </row>
    <row r="242" ht="15.75" customHeight="1">
      <c r="A242" s="95"/>
      <c r="B242" s="104"/>
      <c r="C242" s="97" t="str">
        <f>VLOOKUP(B242,Stock!$A$2:$B$133,2,0)</f>
        <v>#N/A</v>
      </c>
      <c r="D242" s="105"/>
      <c r="E242" s="106"/>
      <c r="F242" s="107"/>
      <c r="G242" s="87"/>
    </row>
    <row r="243" ht="15.75" customHeight="1">
      <c r="A243" s="95"/>
      <c r="B243" s="104"/>
      <c r="C243" s="97" t="str">
        <f>VLOOKUP(B243,Stock!$A$2:$B$133,2,0)</f>
        <v>#N/A</v>
      </c>
      <c r="D243" s="105"/>
      <c r="E243" s="106"/>
      <c r="F243" s="107"/>
      <c r="G243" s="87"/>
    </row>
    <row r="244" ht="15.75" customHeight="1">
      <c r="A244" s="95"/>
      <c r="B244" s="104"/>
      <c r="C244" s="97" t="str">
        <f>VLOOKUP(B244,Stock!$A$2:$B$133,2,0)</f>
        <v>#N/A</v>
      </c>
      <c r="D244" s="105"/>
      <c r="E244" s="106"/>
      <c r="F244" s="107"/>
      <c r="G244" s="87"/>
    </row>
    <row r="245" ht="15.75" customHeight="1">
      <c r="A245" s="95"/>
      <c r="B245" s="104"/>
      <c r="C245" s="97" t="str">
        <f>VLOOKUP(B245,Stock!$A$2:$B$133,2,0)</f>
        <v>#N/A</v>
      </c>
      <c r="D245" s="105"/>
      <c r="E245" s="106"/>
      <c r="F245" s="107"/>
      <c r="G245" s="87"/>
    </row>
    <row r="246" ht="15.75" customHeight="1">
      <c r="A246" s="95"/>
      <c r="B246" s="104"/>
      <c r="C246" s="97" t="str">
        <f>VLOOKUP(B246,Stock!$A$2:$B$133,2,0)</f>
        <v>#N/A</v>
      </c>
      <c r="D246" s="105"/>
      <c r="E246" s="106"/>
      <c r="F246" s="107"/>
      <c r="G246" s="87"/>
    </row>
    <row r="247" ht="15.75" customHeight="1">
      <c r="A247" s="95"/>
      <c r="B247" s="104"/>
      <c r="C247" s="97" t="str">
        <f>VLOOKUP(B247,Stock!$A$2:$B$133,2,0)</f>
        <v>#N/A</v>
      </c>
      <c r="D247" s="105"/>
      <c r="E247" s="106"/>
      <c r="F247" s="107"/>
      <c r="G247" s="87"/>
    </row>
    <row r="248" ht="15.75" customHeight="1">
      <c r="A248" s="95"/>
      <c r="B248" s="104"/>
      <c r="C248" s="97" t="str">
        <f>VLOOKUP(B248,Stock!$A$2:$B$133,2,0)</f>
        <v>#N/A</v>
      </c>
      <c r="D248" s="105"/>
      <c r="E248" s="106"/>
      <c r="F248" s="107"/>
      <c r="G248" s="87"/>
    </row>
    <row r="249" ht="15.75" customHeight="1">
      <c r="A249" s="95"/>
      <c r="B249" s="104"/>
      <c r="C249" s="97" t="str">
        <f>VLOOKUP(B249,Stock!$A$2:$B$133,2,0)</f>
        <v>#N/A</v>
      </c>
      <c r="D249" s="105"/>
      <c r="E249" s="106"/>
      <c r="F249" s="107"/>
      <c r="G249" s="87"/>
    </row>
    <row r="250" ht="15.75" customHeight="1">
      <c r="A250" s="95"/>
      <c r="B250" s="104"/>
      <c r="C250" s="97" t="str">
        <f>VLOOKUP(B250,Stock!$A$2:$B$133,2,0)</f>
        <v>#N/A</v>
      </c>
      <c r="D250" s="105"/>
      <c r="E250" s="106"/>
      <c r="F250" s="107"/>
      <c r="G250" s="87"/>
    </row>
    <row r="251" ht="15.75" customHeight="1">
      <c r="A251" s="95"/>
      <c r="B251" s="104"/>
      <c r="C251" s="97" t="str">
        <f>VLOOKUP(B251,Stock!$A$2:$B$133,2,0)</f>
        <v>#N/A</v>
      </c>
      <c r="D251" s="105"/>
      <c r="E251" s="106"/>
      <c r="F251" s="107"/>
      <c r="G251" s="87"/>
    </row>
    <row r="252" ht="15.75" customHeight="1">
      <c r="A252" s="95"/>
      <c r="B252" s="104"/>
      <c r="C252" s="97" t="str">
        <f>VLOOKUP(B252,Stock!$A$2:$B$133,2,0)</f>
        <v>#N/A</v>
      </c>
      <c r="D252" s="105"/>
      <c r="E252" s="106"/>
      <c r="F252" s="107"/>
      <c r="G252" s="87"/>
    </row>
    <row r="253" ht="15.75" customHeight="1">
      <c r="A253" s="95"/>
      <c r="B253" s="104"/>
      <c r="C253" s="97" t="str">
        <f>VLOOKUP(B253,Stock!$A$2:$B$133,2,0)</f>
        <v>#N/A</v>
      </c>
      <c r="D253" s="105"/>
      <c r="E253" s="106"/>
      <c r="F253" s="107"/>
      <c r="G253" s="87"/>
    </row>
    <row r="254" ht="15.75" customHeight="1">
      <c r="A254" s="95"/>
      <c r="B254" s="104"/>
      <c r="C254" s="97" t="str">
        <f>VLOOKUP(B254,Stock!$A$2:$B$133,2,0)</f>
        <v>#N/A</v>
      </c>
      <c r="D254" s="105"/>
      <c r="E254" s="106"/>
      <c r="F254" s="107"/>
      <c r="G254" s="87"/>
    </row>
    <row r="255" ht="15.75" customHeight="1">
      <c r="A255" s="95"/>
      <c r="B255" s="104"/>
      <c r="C255" s="97" t="str">
        <f>VLOOKUP(B255,Stock!$A$2:$B$133,2,0)</f>
        <v>#N/A</v>
      </c>
      <c r="D255" s="105"/>
      <c r="E255" s="106"/>
      <c r="F255" s="107"/>
      <c r="G255" s="87"/>
    </row>
    <row r="256" ht="15.75" customHeight="1">
      <c r="A256" s="95"/>
      <c r="B256" s="104"/>
      <c r="C256" s="97" t="str">
        <f>VLOOKUP(B256,Stock!$A$2:$B$133,2,0)</f>
        <v>#N/A</v>
      </c>
      <c r="D256" s="105"/>
      <c r="E256" s="106"/>
      <c r="F256" s="107"/>
      <c r="G256" s="87"/>
    </row>
    <row r="257" ht="15.75" customHeight="1">
      <c r="A257" s="95"/>
      <c r="B257" s="104"/>
      <c r="C257" s="97" t="str">
        <f>VLOOKUP(B257,Stock!$A$2:$B$133,2,0)</f>
        <v>#N/A</v>
      </c>
      <c r="D257" s="105"/>
      <c r="E257" s="106"/>
      <c r="F257" s="107"/>
      <c r="G257" s="87"/>
    </row>
    <row r="258" ht="15.75" customHeight="1">
      <c r="A258" s="95"/>
      <c r="B258" s="104"/>
      <c r="C258" s="97" t="str">
        <f>VLOOKUP(B258,Stock!$A$2:$B$133,2,0)</f>
        <v>#N/A</v>
      </c>
      <c r="D258" s="105"/>
      <c r="E258" s="106"/>
      <c r="F258" s="107"/>
      <c r="G258" s="87"/>
    </row>
    <row r="259" ht="15.75" customHeight="1">
      <c r="A259" s="95"/>
      <c r="B259" s="104"/>
      <c r="C259" s="97" t="str">
        <f>VLOOKUP(B259,Stock!$A$2:$B$133,2,0)</f>
        <v>#N/A</v>
      </c>
      <c r="D259" s="105"/>
      <c r="E259" s="106"/>
      <c r="F259" s="107"/>
      <c r="G259" s="87"/>
    </row>
    <row r="260" ht="15.75" customHeight="1">
      <c r="A260" s="95"/>
      <c r="B260" s="104"/>
      <c r="C260" s="97" t="str">
        <f>VLOOKUP(B260,Stock!$A$2:$B$133,2,0)</f>
        <v>#N/A</v>
      </c>
      <c r="D260" s="105"/>
      <c r="E260" s="106"/>
      <c r="F260" s="107"/>
      <c r="G260" s="87"/>
    </row>
    <row r="261" ht="15.75" customHeight="1">
      <c r="A261" s="95"/>
      <c r="B261" s="104"/>
      <c r="C261" s="97" t="str">
        <f>VLOOKUP(B261,Stock!$A$2:$B$133,2,0)</f>
        <v>#N/A</v>
      </c>
      <c r="D261" s="105"/>
      <c r="E261" s="106"/>
      <c r="F261" s="107"/>
      <c r="G261" s="87"/>
    </row>
    <row r="262" ht="15.75" customHeight="1">
      <c r="A262" s="95"/>
      <c r="B262" s="104"/>
      <c r="C262" s="97" t="str">
        <f>VLOOKUP(B262,Stock!$A$2:$B$133,2,0)</f>
        <v>#N/A</v>
      </c>
      <c r="D262" s="105"/>
      <c r="E262" s="106"/>
      <c r="F262" s="107"/>
      <c r="G262" s="87"/>
    </row>
    <row r="263" ht="15.75" customHeight="1">
      <c r="A263" s="95"/>
      <c r="B263" s="104"/>
      <c r="C263" s="97" t="str">
        <f>VLOOKUP(B263,Stock!$A$2:$B$133,2,0)</f>
        <v>#N/A</v>
      </c>
      <c r="D263" s="105"/>
      <c r="E263" s="106"/>
      <c r="F263" s="107"/>
      <c r="G263" s="87"/>
    </row>
    <row r="264" ht="15.75" customHeight="1">
      <c r="A264" s="95"/>
      <c r="B264" s="104"/>
      <c r="C264" s="97" t="str">
        <f>VLOOKUP(B264,Stock!$A$2:$B$133,2,0)</f>
        <v>#N/A</v>
      </c>
      <c r="D264" s="105"/>
      <c r="E264" s="106"/>
      <c r="F264" s="107"/>
      <c r="G264" s="87"/>
    </row>
    <row r="265" ht="15.75" customHeight="1">
      <c r="A265" s="95"/>
      <c r="B265" s="104"/>
      <c r="C265" s="97" t="str">
        <f>VLOOKUP(B265,Stock!$A$2:$B$133,2,0)</f>
        <v>#N/A</v>
      </c>
      <c r="D265" s="105"/>
      <c r="E265" s="106"/>
      <c r="F265" s="107"/>
      <c r="G265" s="87"/>
    </row>
    <row r="266" ht="15.75" customHeight="1">
      <c r="A266" s="95"/>
      <c r="B266" s="104"/>
      <c r="C266" s="97" t="str">
        <f>VLOOKUP(B266,Stock!$A$2:$B$133,2,0)</f>
        <v>#N/A</v>
      </c>
      <c r="D266" s="105"/>
      <c r="E266" s="106"/>
      <c r="F266" s="107"/>
      <c r="G266" s="87"/>
    </row>
    <row r="267" ht="15.75" customHeight="1">
      <c r="A267" s="95"/>
      <c r="B267" s="104"/>
      <c r="C267" s="97" t="str">
        <f>VLOOKUP(B267,Stock!$A$2:$B$133,2,0)</f>
        <v>#N/A</v>
      </c>
      <c r="D267" s="105"/>
      <c r="E267" s="106"/>
      <c r="F267" s="107"/>
      <c r="G267" s="87"/>
    </row>
    <row r="268" ht="15.75" customHeight="1">
      <c r="A268" s="95"/>
      <c r="B268" s="104"/>
      <c r="C268" s="97" t="str">
        <f>VLOOKUP(B268,Stock!$A$2:$B$133,2,0)</f>
        <v>#N/A</v>
      </c>
      <c r="D268" s="105"/>
      <c r="E268" s="106"/>
      <c r="F268" s="107"/>
      <c r="G268" s="87"/>
    </row>
    <row r="269" ht="15.75" customHeight="1">
      <c r="A269" s="95"/>
      <c r="B269" s="104"/>
      <c r="C269" s="97" t="str">
        <f>VLOOKUP(B269,Stock!$A$2:$B$133,2,0)</f>
        <v>#N/A</v>
      </c>
      <c r="D269" s="105"/>
      <c r="E269" s="106"/>
      <c r="F269" s="107"/>
      <c r="G269" s="87"/>
    </row>
    <row r="270" ht="15.75" customHeight="1">
      <c r="A270" s="95"/>
      <c r="B270" s="104"/>
      <c r="C270" s="97" t="str">
        <f>VLOOKUP(B270,Stock!$A$2:$B$133,2,0)</f>
        <v>#N/A</v>
      </c>
      <c r="D270" s="105"/>
      <c r="E270" s="106"/>
      <c r="F270" s="107"/>
      <c r="G270" s="87"/>
    </row>
    <row r="271" ht="15.75" customHeight="1">
      <c r="A271" s="95"/>
      <c r="B271" s="104"/>
      <c r="C271" s="97" t="str">
        <f>VLOOKUP(B271,Stock!$A$2:$B$133,2,0)</f>
        <v>#N/A</v>
      </c>
      <c r="D271" s="105"/>
      <c r="E271" s="106"/>
      <c r="F271" s="107"/>
      <c r="G271" s="87"/>
    </row>
    <row r="272" ht="15.75" customHeight="1">
      <c r="A272" s="95"/>
      <c r="B272" s="104"/>
      <c r="C272" s="97" t="str">
        <f>VLOOKUP(B272,Stock!$A$2:$B$133,2,0)</f>
        <v>#N/A</v>
      </c>
      <c r="D272" s="105"/>
      <c r="E272" s="106"/>
      <c r="F272" s="107"/>
      <c r="G272" s="87"/>
    </row>
    <row r="273" ht="15.75" customHeight="1">
      <c r="A273" s="95"/>
      <c r="B273" s="104"/>
      <c r="C273" s="97" t="str">
        <f>VLOOKUP(B273,Stock!$A$2:$B$133,2,0)</f>
        <v>#N/A</v>
      </c>
      <c r="D273" s="105"/>
      <c r="E273" s="106"/>
      <c r="F273" s="107"/>
      <c r="G273" s="87"/>
    </row>
    <row r="274" ht="15.75" customHeight="1">
      <c r="A274" s="95"/>
      <c r="B274" s="104"/>
      <c r="C274" s="97" t="str">
        <f>VLOOKUP(B274,Stock!$A$2:$B$133,2,0)</f>
        <v>#N/A</v>
      </c>
      <c r="D274" s="105"/>
      <c r="E274" s="106"/>
      <c r="F274" s="107"/>
      <c r="G274" s="87"/>
    </row>
    <row r="275" ht="15.75" customHeight="1">
      <c r="A275" s="95"/>
      <c r="B275" s="104"/>
      <c r="C275" s="97" t="str">
        <f>VLOOKUP(B275,Stock!$A$2:$B$133,2,0)</f>
        <v>#N/A</v>
      </c>
      <c r="D275" s="105"/>
      <c r="E275" s="106"/>
      <c r="F275" s="107"/>
      <c r="G275" s="87"/>
    </row>
    <row r="276" ht="15.75" customHeight="1">
      <c r="A276" s="95"/>
      <c r="B276" s="104"/>
      <c r="C276" s="97" t="str">
        <f>VLOOKUP(B276,Stock!$A$2:$B$133,2,0)</f>
        <v>#N/A</v>
      </c>
      <c r="D276" s="105"/>
      <c r="E276" s="106"/>
      <c r="F276" s="107"/>
      <c r="G276" s="87"/>
    </row>
    <row r="277" ht="15.75" customHeight="1">
      <c r="A277" s="95"/>
      <c r="B277" s="104"/>
      <c r="C277" s="97" t="str">
        <f>VLOOKUP(B277,Stock!$A$2:$B$133,2,0)</f>
        <v>#N/A</v>
      </c>
      <c r="D277" s="105"/>
      <c r="E277" s="106"/>
      <c r="F277" s="107"/>
      <c r="G277" s="87"/>
    </row>
    <row r="278" ht="15.75" customHeight="1">
      <c r="A278" s="95"/>
      <c r="B278" s="104"/>
      <c r="C278" s="97" t="str">
        <f>VLOOKUP(B278,Stock!$A$2:$B$133,2,0)</f>
        <v>#N/A</v>
      </c>
      <c r="D278" s="105"/>
      <c r="E278" s="106"/>
      <c r="F278" s="107"/>
      <c r="G278" s="87"/>
    </row>
    <row r="279" ht="15.75" customHeight="1">
      <c r="A279" s="95"/>
      <c r="B279" s="104"/>
      <c r="C279" s="97" t="str">
        <f>VLOOKUP(B279,Stock!$A$2:$B$133,2,0)</f>
        <v>#N/A</v>
      </c>
      <c r="D279" s="105"/>
      <c r="E279" s="106"/>
      <c r="F279" s="107"/>
      <c r="G279" s="87"/>
    </row>
    <row r="280" ht="15.75" customHeight="1">
      <c r="A280" s="95"/>
      <c r="B280" s="104"/>
      <c r="C280" s="97" t="str">
        <f>VLOOKUP(B280,Stock!$A$2:$B$133,2,0)</f>
        <v>#N/A</v>
      </c>
      <c r="D280" s="105"/>
      <c r="E280" s="106"/>
      <c r="F280" s="107"/>
      <c r="G280" s="87"/>
    </row>
    <row r="281" ht="15.75" customHeight="1">
      <c r="A281" s="95"/>
      <c r="B281" s="104"/>
      <c r="C281" s="97" t="str">
        <f>VLOOKUP(B281,Stock!$A$2:$B$133,2,0)</f>
        <v>#N/A</v>
      </c>
      <c r="D281" s="105"/>
      <c r="E281" s="106"/>
      <c r="F281" s="107"/>
      <c r="G281" s="87"/>
    </row>
    <row r="282" ht="15.75" customHeight="1">
      <c r="A282" s="95"/>
      <c r="B282" s="104"/>
      <c r="C282" s="97" t="str">
        <f>VLOOKUP(B282,Stock!$A$2:$B$133,2,0)</f>
        <v>#N/A</v>
      </c>
      <c r="D282" s="105"/>
      <c r="E282" s="106"/>
      <c r="F282" s="107"/>
      <c r="G282" s="87"/>
    </row>
    <row r="283" ht="15.75" customHeight="1">
      <c r="A283" s="95"/>
      <c r="B283" s="104"/>
      <c r="C283" s="97" t="str">
        <f>VLOOKUP(B283,Stock!$A$2:$B$133,2,0)</f>
        <v>#N/A</v>
      </c>
      <c r="D283" s="105"/>
      <c r="E283" s="106"/>
      <c r="F283" s="107"/>
      <c r="G283" s="87"/>
    </row>
    <row r="284" ht="15.75" customHeight="1">
      <c r="A284" s="95"/>
      <c r="B284" s="104"/>
      <c r="C284" s="97" t="str">
        <f>VLOOKUP(B284,Stock!$A$2:$B$133,2,0)</f>
        <v>#N/A</v>
      </c>
      <c r="D284" s="105"/>
      <c r="E284" s="106"/>
      <c r="F284" s="107"/>
      <c r="G284" s="87"/>
    </row>
    <row r="285" ht="15.75" customHeight="1">
      <c r="A285" s="95"/>
      <c r="B285" s="104"/>
      <c r="C285" s="97" t="str">
        <f>VLOOKUP(B285,Stock!$A$2:$B$133,2,0)</f>
        <v>#N/A</v>
      </c>
      <c r="D285" s="105"/>
      <c r="E285" s="106"/>
      <c r="F285" s="107"/>
      <c r="G285" s="87"/>
    </row>
    <row r="286" ht="15.75" customHeight="1">
      <c r="A286" s="95"/>
      <c r="B286" s="104"/>
      <c r="C286" s="97" t="str">
        <f>VLOOKUP(B286,Stock!$A$2:$B$133,2,0)</f>
        <v>#N/A</v>
      </c>
      <c r="D286" s="105"/>
      <c r="E286" s="106"/>
      <c r="F286" s="107"/>
      <c r="G286" s="87"/>
    </row>
    <row r="287" ht="15.75" customHeight="1">
      <c r="A287" s="95"/>
      <c r="B287" s="104"/>
      <c r="C287" s="97" t="str">
        <f>VLOOKUP(B287,Stock!$A$2:$B$133,2,0)</f>
        <v>#N/A</v>
      </c>
      <c r="D287" s="105"/>
      <c r="E287" s="106"/>
      <c r="F287" s="107"/>
      <c r="G287" s="87"/>
    </row>
    <row r="288" ht="15.75" customHeight="1">
      <c r="A288" s="95"/>
      <c r="B288" s="104"/>
      <c r="C288" s="97" t="str">
        <f>VLOOKUP(B288,Stock!$A$2:$B$133,2,0)</f>
        <v>#N/A</v>
      </c>
      <c r="D288" s="105"/>
      <c r="E288" s="106"/>
      <c r="F288" s="107"/>
      <c r="G288" s="87"/>
    </row>
    <row r="289" ht="15.75" customHeight="1">
      <c r="A289" s="95"/>
      <c r="B289" s="104"/>
      <c r="C289" s="97" t="str">
        <f>VLOOKUP(B289,Stock!$A$2:$B$133,2,0)</f>
        <v>#N/A</v>
      </c>
      <c r="D289" s="105"/>
      <c r="E289" s="106"/>
      <c r="F289" s="107"/>
      <c r="G289" s="87"/>
    </row>
    <row r="290" ht="15.75" customHeight="1">
      <c r="A290" s="95"/>
      <c r="B290" s="104"/>
      <c r="C290" s="97" t="str">
        <f>VLOOKUP(B290,Stock!$A$2:$B$133,2,0)</f>
        <v>#N/A</v>
      </c>
      <c r="D290" s="105"/>
      <c r="E290" s="106"/>
      <c r="F290" s="107"/>
      <c r="G290" s="87"/>
    </row>
    <row r="291" ht="15.75" customHeight="1">
      <c r="A291" s="95"/>
      <c r="B291" s="104"/>
      <c r="C291" s="97" t="str">
        <f>VLOOKUP(B291,Stock!$A$2:$B$133,2,0)</f>
        <v>#N/A</v>
      </c>
      <c r="D291" s="105"/>
      <c r="E291" s="106"/>
      <c r="F291" s="107"/>
      <c r="G291" s="87"/>
    </row>
    <row r="292" ht="15.75" customHeight="1">
      <c r="A292" s="95"/>
      <c r="B292" s="104"/>
      <c r="C292" s="97" t="str">
        <f>VLOOKUP(B292,Stock!$A$2:$B$133,2,0)</f>
        <v>#N/A</v>
      </c>
      <c r="D292" s="105"/>
      <c r="E292" s="106"/>
      <c r="F292" s="107"/>
      <c r="G292" s="87"/>
    </row>
    <row r="293" ht="15.75" customHeight="1">
      <c r="A293" s="95"/>
      <c r="B293" s="104"/>
      <c r="C293" s="97" t="str">
        <f>VLOOKUP(B293,Stock!$A$2:$B$133,2,0)</f>
        <v>#N/A</v>
      </c>
      <c r="D293" s="105"/>
      <c r="E293" s="106"/>
      <c r="F293" s="107"/>
      <c r="G293" s="87"/>
    </row>
    <row r="294" ht="15.75" customHeight="1">
      <c r="A294" s="95"/>
      <c r="B294" s="104"/>
      <c r="C294" s="97" t="str">
        <f>VLOOKUP(B294,Stock!$A$2:$B$133,2,0)</f>
        <v>#N/A</v>
      </c>
      <c r="D294" s="105"/>
      <c r="E294" s="106"/>
      <c r="F294" s="107"/>
      <c r="G294" s="87"/>
    </row>
    <row r="295" ht="15.75" customHeight="1">
      <c r="A295" s="95"/>
      <c r="B295" s="104"/>
      <c r="C295" s="97" t="str">
        <f>VLOOKUP(B295,Stock!$A$2:$B$133,2,0)</f>
        <v>#N/A</v>
      </c>
      <c r="D295" s="105"/>
      <c r="E295" s="106"/>
      <c r="F295" s="107"/>
      <c r="G295" s="87"/>
    </row>
    <row r="296" ht="15.75" customHeight="1">
      <c r="A296" s="95"/>
      <c r="B296" s="104"/>
      <c r="C296" s="97" t="str">
        <f>VLOOKUP(B296,Stock!$A$2:$B$133,2,0)</f>
        <v>#N/A</v>
      </c>
      <c r="D296" s="105"/>
      <c r="E296" s="106"/>
      <c r="F296" s="107"/>
      <c r="G296" s="87"/>
    </row>
    <row r="297" ht="15.75" customHeight="1">
      <c r="A297" s="95"/>
      <c r="B297" s="104"/>
      <c r="C297" s="97" t="str">
        <f>VLOOKUP(B297,Stock!$A$2:$B$133,2,0)</f>
        <v>#N/A</v>
      </c>
      <c r="D297" s="105"/>
      <c r="E297" s="106"/>
      <c r="F297" s="107"/>
      <c r="G297" s="87"/>
    </row>
    <row r="298" ht="15.75" customHeight="1">
      <c r="A298" s="95"/>
      <c r="B298" s="104"/>
      <c r="C298" s="97" t="str">
        <f>VLOOKUP(B298,Stock!$A$2:$B$133,2,0)</f>
        <v>#N/A</v>
      </c>
      <c r="D298" s="105"/>
      <c r="E298" s="106"/>
      <c r="F298" s="107"/>
      <c r="G298" s="87"/>
    </row>
    <row r="299" ht="15.75" customHeight="1">
      <c r="A299" s="95"/>
      <c r="B299" s="104"/>
      <c r="C299" s="97" t="str">
        <f>VLOOKUP(B299,Stock!$A$2:$B$133,2,0)</f>
        <v>#N/A</v>
      </c>
      <c r="D299" s="105"/>
      <c r="E299" s="106"/>
      <c r="F299" s="107"/>
      <c r="G299" s="87"/>
    </row>
    <row r="300" ht="15.75" customHeight="1">
      <c r="A300" s="95"/>
      <c r="B300" s="104"/>
      <c r="C300" s="97" t="str">
        <f>VLOOKUP(B300,Stock!$A$2:$B$133,2,0)</f>
        <v>#N/A</v>
      </c>
      <c r="D300" s="105"/>
      <c r="E300" s="106"/>
      <c r="F300" s="107"/>
      <c r="G300" s="87"/>
    </row>
    <row r="301" ht="15.75" customHeight="1">
      <c r="A301" s="95"/>
      <c r="B301" s="104"/>
      <c r="C301" s="97" t="str">
        <f>VLOOKUP(B301,Stock!$A$2:$B$133,2,0)</f>
        <v>#N/A</v>
      </c>
      <c r="D301" s="105"/>
      <c r="E301" s="106"/>
      <c r="F301" s="107"/>
      <c r="G301" s="87"/>
    </row>
    <row r="302" ht="15.75" customHeight="1">
      <c r="A302" s="95"/>
      <c r="B302" s="104"/>
      <c r="C302" s="97" t="str">
        <f>VLOOKUP(B302,Stock!$A$2:$B$133,2,0)</f>
        <v>#N/A</v>
      </c>
      <c r="D302" s="105"/>
      <c r="E302" s="106"/>
      <c r="F302" s="107"/>
      <c r="G302" s="87"/>
    </row>
    <row r="303" ht="15.75" customHeight="1">
      <c r="A303" s="95"/>
      <c r="B303" s="104"/>
      <c r="C303" s="97" t="str">
        <f>VLOOKUP(B303,Stock!$A$2:$B$133,2,0)</f>
        <v>#N/A</v>
      </c>
      <c r="D303" s="105"/>
      <c r="E303" s="106"/>
      <c r="F303" s="107"/>
      <c r="G303" s="87"/>
    </row>
    <row r="304" ht="15.75" customHeight="1">
      <c r="A304" s="95"/>
      <c r="B304" s="104"/>
      <c r="C304" s="97" t="str">
        <f>VLOOKUP(B304,Stock!$A$2:$B$133,2,0)</f>
        <v>#N/A</v>
      </c>
      <c r="D304" s="105"/>
      <c r="E304" s="106"/>
      <c r="F304" s="107"/>
      <c r="G304" s="87"/>
    </row>
    <row r="305" ht="15.75" customHeight="1">
      <c r="A305" s="95"/>
      <c r="B305" s="104"/>
      <c r="C305" s="97" t="str">
        <f>VLOOKUP(B305,Stock!$A$2:$B$133,2,0)</f>
        <v>#N/A</v>
      </c>
      <c r="D305" s="105"/>
      <c r="E305" s="106"/>
      <c r="F305" s="107"/>
      <c r="G305" s="87"/>
    </row>
    <row r="306" ht="15.75" customHeight="1">
      <c r="A306" s="95"/>
      <c r="B306" s="104"/>
      <c r="C306" s="97" t="str">
        <f>VLOOKUP(B306,Stock!$A$2:$B$133,2,0)</f>
        <v>#N/A</v>
      </c>
      <c r="D306" s="105"/>
      <c r="E306" s="106"/>
      <c r="F306" s="107"/>
      <c r="G306" s="87"/>
    </row>
    <row r="307" ht="15.75" customHeight="1">
      <c r="A307" s="95"/>
      <c r="B307" s="104"/>
      <c r="C307" s="97" t="str">
        <f>VLOOKUP(B307,Stock!$A$2:$B$133,2,0)</f>
        <v>#N/A</v>
      </c>
      <c r="D307" s="105"/>
      <c r="E307" s="106"/>
      <c r="F307" s="107"/>
      <c r="G307" s="87"/>
    </row>
    <row r="308" ht="15.75" customHeight="1">
      <c r="A308" s="95"/>
      <c r="B308" s="104"/>
      <c r="C308" s="97" t="str">
        <f>VLOOKUP(B308,Stock!$A$2:$B$133,2,0)</f>
        <v>#N/A</v>
      </c>
      <c r="D308" s="105"/>
      <c r="E308" s="106"/>
      <c r="F308" s="107"/>
      <c r="G308" s="87"/>
    </row>
    <row r="309" ht="15.75" customHeight="1">
      <c r="A309" s="95"/>
      <c r="B309" s="104"/>
      <c r="C309" s="97" t="str">
        <f>VLOOKUP(B309,Stock!$A$2:$B$133,2,0)</f>
        <v>#N/A</v>
      </c>
      <c r="D309" s="105"/>
      <c r="E309" s="106"/>
      <c r="F309" s="107"/>
      <c r="G309" s="87"/>
    </row>
    <row r="310" ht="15.75" customHeight="1">
      <c r="A310" s="95"/>
      <c r="B310" s="104"/>
      <c r="C310" s="97" t="str">
        <f>VLOOKUP(B310,Stock!$A$2:$B$133,2,0)</f>
        <v>#N/A</v>
      </c>
      <c r="D310" s="105"/>
      <c r="E310" s="106"/>
      <c r="F310" s="107"/>
      <c r="G310" s="87"/>
    </row>
    <row r="311" ht="15.75" customHeight="1">
      <c r="A311" s="95"/>
      <c r="B311" s="104"/>
      <c r="C311" s="97" t="str">
        <f>VLOOKUP(B311,Stock!$A$2:$B$133,2,0)</f>
        <v>#N/A</v>
      </c>
      <c r="D311" s="105"/>
      <c r="E311" s="106"/>
      <c r="F311" s="107"/>
      <c r="G311" s="87"/>
    </row>
    <row r="312" ht="15.75" customHeight="1">
      <c r="A312" s="95"/>
      <c r="B312" s="104"/>
      <c r="C312" s="97" t="str">
        <f>VLOOKUP(B312,Stock!$A$2:$B$133,2,0)</f>
        <v>#N/A</v>
      </c>
      <c r="D312" s="105"/>
      <c r="E312" s="106"/>
      <c r="F312" s="107"/>
      <c r="G312" s="87"/>
    </row>
    <row r="313" ht="15.75" customHeight="1">
      <c r="A313" s="95"/>
      <c r="B313" s="104"/>
      <c r="C313" s="97" t="str">
        <f>VLOOKUP(B313,Stock!$A$2:$B$133,2,0)</f>
        <v>#N/A</v>
      </c>
      <c r="D313" s="105"/>
      <c r="E313" s="106"/>
      <c r="F313" s="107"/>
      <c r="G313" s="87"/>
    </row>
    <row r="314" ht="15.75" customHeight="1">
      <c r="A314" s="95"/>
      <c r="B314" s="104"/>
      <c r="C314" s="97" t="str">
        <f>VLOOKUP(B314,Stock!$A$2:$B$133,2,0)</f>
        <v>#N/A</v>
      </c>
      <c r="D314" s="105"/>
      <c r="E314" s="106"/>
      <c r="F314" s="107"/>
      <c r="G314" s="87"/>
    </row>
    <row r="315" ht="15.75" customHeight="1">
      <c r="A315" s="95"/>
      <c r="B315" s="104"/>
      <c r="C315" s="97" t="str">
        <f>VLOOKUP(B315,Stock!$A$2:$B$133,2,0)</f>
        <v>#N/A</v>
      </c>
      <c r="D315" s="105"/>
      <c r="E315" s="106"/>
      <c r="F315" s="107"/>
      <c r="G315" s="87"/>
    </row>
    <row r="316" ht="15.75" customHeight="1">
      <c r="A316" s="95"/>
      <c r="B316" s="104"/>
      <c r="C316" s="97" t="str">
        <f>VLOOKUP(B316,Stock!$A$2:$B$133,2,0)</f>
        <v>#N/A</v>
      </c>
      <c r="D316" s="105"/>
      <c r="E316" s="106"/>
      <c r="F316" s="107"/>
      <c r="G316" s="87"/>
    </row>
    <row r="317" ht="15.75" customHeight="1">
      <c r="A317" s="95"/>
      <c r="B317" s="104"/>
      <c r="C317" s="97" t="str">
        <f>VLOOKUP(B317,Stock!$A$2:$B$133,2,0)</f>
        <v>#N/A</v>
      </c>
      <c r="D317" s="105"/>
      <c r="E317" s="106"/>
      <c r="F317" s="107"/>
      <c r="G317" s="87"/>
    </row>
    <row r="318" ht="15.75" customHeight="1">
      <c r="A318" s="95"/>
      <c r="B318" s="104"/>
      <c r="C318" s="97" t="str">
        <f>VLOOKUP(B318,Stock!$A$2:$B$133,2,0)</f>
        <v>#N/A</v>
      </c>
      <c r="D318" s="105"/>
      <c r="E318" s="106"/>
      <c r="F318" s="107"/>
      <c r="G318" s="87"/>
    </row>
    <row r="319" ht="15.75" customHeight="1">
      <c r="A319" s="95"/>
      <c r="B319" s="104"/>
      <c r="C319" s="97" t="str">
        <f>VLOOKUP(B319,Stock!$A$2:$B$133,2,0)</f>
        <v>#N/A</v>
      </c>
      <c r="D319" s="105"/>
      <c r="E319" s="106"/>
      <c r="F319" s="107"/>
      <c r="G319" s="87"/>
    </row>
    <row r="320" ht="15.75" customHeight="1">
      <c r="A320" s="95"/>
      <c r="B320" s="104"/>
      <c r="C320" s="97" t="str">
        <f>VLOOKUP(B320,Stock!$A$2:$B$133,2,0)</f>
        <v>#N/A</v>
      </c>
      <c r="D320" s="105"/>
      <c r="E320" s="106"/>
      <c r="F320" s="107"/>
      <c r="G320" s="87"/>
    </row>
    <row r="321" ht="15.75" customHeight="1">
      <c r="A321" s="95"/>
      <c r="B321" s="104"/>
      <c r="C321" s="97" t="str">
        <f>VLOOKUP(B321,Stock!$A$2:$B$133,2,0)</f>
        <v>#N/A</v>
      </c>
      <c r="D321" s="105"/>
      <c r="E321" s="106"/>
      <c r="F321" s="107"/>
      <c r="G321" s="87"/>
    </row>
    <row r="322" ht="15.75" customHeight="1">
      <c r="A322" s="95"/>
      <c r="B322" s="104"/>
      <c r="C322" s="97" t="str">
        <f>VLOOKUP(B322,Stock!$A$2:$B$133,2,0)</f>
        <v>#N/A</v>
      </c>
      <c r="D322" s="105"/>
      <c r="E322" s="106"/>
      <c r="F322" s="107"/>
      <c r="G322" s="87"/>
    </row>
    <row r="323" ht="15.75" customHeight="1">
      <c r="A323" s="95"/>
      <c r="B323" s="104"/>
      <c r="C323" s="97" t="str">
        <f>VLOOKUP(B323,Stock!$A$2:$B$133,2,0)</f>
        <v>#N/A</v>
      </c>
      <c r="D323" s="105"/>
      <c r="E323" s="106"/>
      <c r="F323" s="107"/>
      <c r="G323" s="87"/>
    </row>
    <row r="324" ht="15.75" customHeight="1">
      <c r="A324" s="95"/>
      <c r="B324" s="104"/>
      <c r="C324" s="97" t="str">
        <f>VLOOKUP(B324,Stock!$A$2:$B$133,2,0)</f>
        <v>#N/A</v>
      </c>
      <c r="D324" s="105"/>
      <c r="E324" s="106"/>
      <c r="F324" s="107"/>
      <c r="G324" s="87"/>
    </row>
    <row r="325" ht="15.75" customHeight="1">
      <c r="A325" s="95"/>
      <c r="B325" s="104"/>
      <c r="C325" s="97" t="str">
        <f>VLOOKUP(B325,Stock!$A$2:$B$133,2,0)</f>
        <v>#N/A</v>
      </c>
      <c r="D325" s="105"/>
      <c r="E325" s="106"/>
      <c r="F325" s="107"/>
      <c r="G325" s="87"/>
    </row>
    <row r="326" ht="15.75" customHeight="1">
      <c r="A326" s="95"/>
      <c r="B326" s="104"/>
      <c r="C326" s="97" t="str">
        <f>VLOOKUP(B326,Stock!$A$2:$B$133,2,0)</f>
        <v>#N/A</v>
      </c>
      <c r="D326" s="105"/>
      <c r="E326" s="106"/>
      <c r="F326" s="107"/>
      <c r="G326" s="87"/>
    </row>
    <row r="327" ht="15.75" customHeight="1">
      <c r="A327" s="95"/>
      <c r="B327" s="104"/>
      <c r="C327" s="97" t="str">
        <f>VLOOKUP(B327,Stock!$A$2:$B$133,2,0)</f>
        <v>#N/A</v>
      </c>
      <c r="D327" s="105"/>
      <c r="E327" s="106"/>
      <c r="F327" s="107"/>
      <c r="G327" s="87"/>
    </row>
    <row r="328" ht="15.75" customHeight="1">
      <c r="A328" s="95"/>
      <c r="B328" s="104"/>
      <c r="C328" s="97" t="str">
        <f>VLOOKUP(B328,Stock!$A$2:$B$133,2,0)</f>
        <v>#N/A</v>
      </c>
      <c r="D328" s="105"/>
      <c r="E328" s="106"/>
      <c r="F328" s="107"/>
      <c r="G328" s="87"/>
    </row>
    <row r="329" ht="15.75" customHeight="1">
      <c r="A329" s="95"/>
      <c r="B329" s="104"/>
      <c r="C329" s="97" t="str">
        <f>VLOOKUP(B329,Stock!$A$2:$B$133,2,0)</f>
        <v>#N/A</v>
      </c>
      <c r="D329" s="105"/>
      <c r="E329" s="106"/>
      <c r="F329" s="107"/>
      <c r="G329" s="87"/>
    </row>
    <row r="330" ht="15.75" customHeight="1">
      <c r="A330" s="95"/>
      <c r="B330" s="104"/>
      <c r="C330" s="97" t="str">
        <f>VLOOKUP(B330,Stock!$A$2:$B$133,2,0)</f>
        <v>#N/A</v>
      </c>
      <c r="D330" s="105"/>
      <c r="E330" s="106"/>
      <c r="F330" s="107"/>
      <c r="G330" s="87"/>
    </row>
    <row r="331" ht="15.75" customHeight="1">
      <c r="A331" s="95"/>
      <c r="B331" s="104"/>
      <c r="C331" s="97" t="str">
        <f>VLOOKUP(B331,Stock!$A$2:$B$133,2,0)</f>
        <v>#N/A</v>
      </c>
      <c r="D331" s="105"/>
      <c r="E331" s="106"/>
      <c r="F331" s="107"/>
      <c r="G331" s="87"/>
    </row>
    <row r="332" ht="15.75" customHeight="1">
      <c r="A332" s="95"/>
      <c r="B332" s="104"/>
      <c r="C332" s="97" t="str">
        <f>VLOOKUP(B332,Stock!$A$2:$B$133,2,0)</f>
        <v>#N/A</v>
      </c>
      <c r="D332" s="105"/>
      <c r="E332" s="106"/>
      <c r="F332" s="107"/>
      <c r="G332" s="87"/>
    </row>
    <row r="333" ht="15.75" customHeight="1">
      <c r="A333" s="95"/>
      <c r="B333" s="104"/>
      <c r="C333" s="97" t="str">
        <f>VLOOKUP(B333,Stock!$A$2:$B$133,2,0)</f>
        <v>#N/A</v>
      </c>
      <c r="D333" s="105"/>
      <c r="E333" s="106"/>
      <c r="F333" s="107"/>
      <c r="G333" s="87"/>
    </row>
    <row r="334" ht="15.75" customHeight="1">
      <c r="A334" s="95"/>
      <c r="B334" s="104"/>
      <c r="C334" s="97" t="str">
        <f>VLOOKUP(B334,Stock!$A$2:$B$133,2,0)</f>
        <v>#N/A</v>
      </c>
      <c r="D334" s="105"/>
      <c r="E334" s="106"/>
      <c r="F334" s="107"/>
      <c r="G334" s="87"/>
    </row>
    <row r="335" ht="15.75" customHeight="1">
      <c r="A335" s="95"/>
      <c r="B335" s="104"/>
      <c r="C335" s="97" t="str">
        <f>VLOOKUP(B335,Stock!$A$2:$B$133,2,0)</f>
        <v>#N/A</v>
      </c>
      <c r="D335" s="105"/>
      <c r="E335" s="106"/>
      <c r="F335" s="107"/>
      <c r="G335" s="87"/>
    </row>
    <row r="336" ht="15.75" customHeight="1">
      <c r="A336" s="95"/>
      <c r="B336" s="104"/>
      <c r="C336" s="97" t="str">
        <f>VLOOKUP(B336,Stock!$A$2:$B$133,2,0)</f>
        <v>#N/A</v>
      </c>
      <c r="D336" s="105"/>
      <c r="E336" s="106"/>
      <c r="F336" s="107"/>
      <c r="G336" s="87"/>
    </row>
    <row r="337" ht="15.75" customHeight="1">
      <c r="A337" s="95"/>
      <c r="B337" s="104"/>
      <c r="C337" s="97" t="str">
        <f>VLOOKUP(B337,Stock!$A$2:$B$133,2,0)</f>
        <v>#N/A</v>
      </c>
      <c r="D337" s="105"/>
      <c r="E337" s="106"/>
      <c r="F337" s="107"/>
      <c r="G337" s="87"/>
    </row>
    <row r="338" ht="15.75" customHeight="1">
      <c r="A338" s="95"/>
      <c r="B338" s="104"/>
      <c r="C338" s="97" t="str">
        <f>VLOOKUP(B338,Stock!$A$2:$B$133,2,0)</f>
        <v>#N/A</v>
      </c>
      <c r="D338" s="105"/>
      <c r="E338" s="106"/>
      <c r="F338" s="107"/>
      <c r="G338" s="87"/>
    </row>
    <row r="339" ht="15.75" customHeight="1">
      <c r="A339" s="95"/>
      <c r="B339" s="104"/>
      <c r="C339" s="97" t="str">
        <f>VLOOKUP(B339,Stock!$A$2:$B$133,2,0)</f>
        <v>#N/A</v>
      </c>
      <c r="D339" s="105"/>
      <c r="E339" s="106"/>
      <c r="F339" s="107"/>
      <c r="G339" s="87"/>
    </row>
    <row r="340" ht="15.75" customHeight="1">
      <c r="A340" s="95"/>
      <c r="B340" s="104"/>
      <c r="C340" s="97" t="str">
        <f>VLOOKUP(B340,Stock!$A$2:$B$133,2,0)</f>
        <v>#N/A</v>
      </c>
      <c r="D340" s="105"/>
      <c r="E340" s="106"/>
      <c r="F340" s="107"/>
      <c r="G340" s="87"/>
    </row>
    <row r="341" ht="15.75" customHeight="1">
      <c r="A341" s="95"/>
      <c r="B341" s="104"/>
      <c r="C341" s="97" t="str">
        <f>VLOOKUP(B341,Stock!$A$2:$B$133,2,0)</f>
        <v>#N/A</v>
      </c>
      <c r="D341" s="105"/>
      <c r="E341" s="106"/>
      <c r="F341" s="107"/>
      <c r="G341" s="87"/>
    </row>
    <row r="342" ht="15.75" customHeight="1">
      <c r="A342" s="95"/>
      <c r="B342" s="104"/>
      <c r="C342" s="97" t="str">
        <f>VLOOKUP(B342,Stock!$A$2:$B$133,2,0)</f>
        <v>#N/A</v>
      </c>
      <c r="D342" s="105"/>
      <c r="E342" s="106"/>
      <c r="F342" s="107"/>
      <c r="G342" s="87"/>
    </row>
    <row r="343" ht="15.75" customHeight="1">
      <c r="A343" s="95"/>
      <c r="B343" s="104"/>
      <c r="C343" s="97" t="str">
        <f>VLOOKUP(B343,Stock!$A$2:$B$133,2,0)</f>
        <v>#N/A</v>
      </c>
      <c r="D343" s="105"/>
      <c r="E343" s="106"/>
      <c r="F343" s="107"/>
      <c r="G343" s="87"/>
    </row>
    <row r="344" ht="15.75" customHeight="1">
      <c r="A344" s="95"/>
      <c r="B344" s="104"/>
      <c r="C344" s="97" t="str">
        <f>VLOOKUP(B344,Stock!$A$2:$B$133,2,0)</f>
        <v>#N/A</v>
      </c>
      <c r="D344" s="105"/>
      <c r="E344" s="106"/>
      <c r="F344" s="107"/>
      <c r="G344" s="87"/>
    </row>
    <row r="345" ht="15.75" customHeight="1">
      <c r="A345" s="95"/>
      <c r="B345" s="104"/>
      <c r="C345" s="97" t="str">
        <f>VLOOKUP(B345,Stock!$A$2:$B$133,2,0)</f>
        <v>#N/A</v>
      </c>
      <c r="D345" s="105"/>
      <c r="E345" s="106"/>
      <c r="F345" s="107"/>
      <c r="G345" s="87"/>
    </row>
    <row r="346" ht="15.75" customHeight="1">
      <c r="A346" s="95"/>
      <c r="B346" s="104"/>
      <c r="C346" s="97" t="str">
        <f>VLOOKUP(B346,Stock!$A$2:$B$133,2,0)</f>
        <v>#N/A</v>
      </c>
      <c r="D346" s="105"/>
      <c r="E346" s="106"/>
      <c r="F346" s="107"/>
      <c r="G346" s="87"/>
    </row>
    <row r="347" ht="15.75" customHeight="1">
      <c r="A347" s="95"/>
      <c r="B347" s="104"/>
      <c r="C347" s="97" t="str">
        <f>VLOOKUP(B347,Stock!$A$2:$B$133,2,0)</f>
        <v>#N/A</v>
      </c>
      <c r="D347" s="105"/>
      <c r="E347" s="106"/>
      <c r="F347" s="107"/>
      <c r="G347" s="87"/>
    </row>
    <row r="348" ht="15.75" customHeight="1">
      <c r="A348" s="95"/>
      <c r="B348" s="104"/>
      <c r="C348" s="97" t="str">
        <f>VLOOKUP(B348,Stock!$A$2:$B$133,2,0)</f>
        <v>#N/A</v>
      </c>
      <c r="D348" s="105"/>
      <c r="E348" s="106"/>
      <c r="F348" s="107"/>
      <c r="G348" s="87"/>
    </row>
    <row r="349" ht="15.75" customHeight="1">
      <c r="A349" s="95"/>
      <c r="B349" s="104"/>
      <c r="C349" s="97" t="str">
        <f>VLOOKUP(B349,Stock!$A$2:$B$133,2,0)</f>
        <v>#N/A</v>
      </c>
      <c r="D349" s="105"/>
      <c r="E349" s="106"/>
      <c r="F349" s="107"/>
      <c r="G349" s="87"/>
    </row>
    <row r="350" ht="15.75" customHeight="1">
      <c r="A350" s="95"/>
      <c r="B350" s="104"/>
      <c r="C350" s="97" t="str">
        <f>VLOOKUP(B350,Stock!$A$2:$B$133,2,0)</f>
        <v>#N/A</v>
      </c>
      <c r="D350" s="105"/>
      <c r="E350" s="106"/>
      <c r="F350" s="107"/>
      <c r="G350" s="87"/>
    </row>
    <row r="351" ht="15.75" customHeight="1">
      <c r="A351" s="95"/>
      <c r="B351" s="104"/>
      <c r="C351" s="97" t="str">
        <f>VLOOKUP(B351,Stock!$A$2:$B$133,2,0)</f>
        <v>#N/A</v>
      </c>
      <c r="D351" s="105"/>
      <c r="E351" s="106"/>
      <c r="F351" s="107"/>
      <c r="G351" s="87"/>
    </row>
    <row r="352" ht="15.75" customHeight="1">
      <c r="A352" s="95"/>
      <c r="B352" s="104"/>
      <c r="C352" s="97" t="str">
        <f>VLOOKUP(B352,Stock!$A$2:$B$133,2,0)</f>
        <v>#N/A</v>
      </c>
      <c r="D352" s="105"/>
      <c r="E352" s="106"/>
      <c r="F352" s="107"/>
      <c r="G352" s="87"/>
    </row>
    <row r="353" ht="15.75" customHeight="1">
      <c r="A353" s="95"/>
      <c r="B353" s="104"/>
      <c r="C353" s="97" t="str">
        <f>VLOOKUP(B353,Stock!$A$2:$B$133,2,0)</f>
        <v>#N/A</v>
      </c>
      <c r="D353" s="105"/>
      <c r="E353" s="106"/>
      <c r="F353" s="107"/>
      <c r="G353" s="87"/>
    </row>
    <row r="354" ht="15.75" customHeight="1">
      <c r="A354" s="95"/>
      <c r="B354" s="104"/>
      <c r="C354" s="97" t="str">
        <f>VLOOKUP(B354,Stock!$A$2:$B$133,2,0)</f>
        <v>#N/A</v>
      </c>
      <c r="D354" s="105"/>
      <c r="E354" s="106"/>
      <c r="F354" s="107"/>
      <c r="G354" s="87"/>
    </row>
    <row r="355" ht="15.75" customHeight="1">
      <c r="A355" s="95"/>
      <c r="B355" s="104"/>
      <c r="C355" s="97" t="str">
        <f>VLOOKUP(B355,Stock!$A$2:$B$133,2,0)</f>
        <v>#N/A</v>
      </c>
      <c r="D355" s="105"/>
      <c r="E355" s="106"/>
      <c r="F355" s="107"/>
      <c r="G355" s="87"/>
    </row>
    <row r="356" ht="15.75" customHeight="1">
      <c r="A356" s="95"/>
      <c r="B356" s="104"/>
      <c r="C356" s="97" t="str">
        <f>VLOOKUP(B356,Stock!$A$2:$B$133,2,0)</f>
        <v>#N/A</v>
      </c>
      <c r="D356" s="105"/>
      <c r="E356" s="106"/>
      <c r="F356" s="107"/>
      <c r="G356" s="87"/>
    </row>
    <row r="357" ht="15.75" customHeight="1">
      <c r="A357" s="95"/>
      <c r="B357" s="104"/>
      <c r="C357" s="97" t="str">
        <f>VLOOKUP(B357,Stock!$A$2:$B$133,2,0)</f>
        <v>#N/A</v>
      </c>
      <c r="D357" s="105"/>
      <c r="E357" s="106"/>
      <c r="F357" s="107"/>
      <c r="G357" s="87"/>
    </row>
    <row r="358" ht="15.75" customHeight="1">
      <c r="A358" s="95"/>
      <c r="B358" s="104"/>
      <c r="C358" s="97" t="str">
        <f>VLOOKUP(B358,Stock!$A$2:$B$133,2,0)</f>
        <v>#N/A</v>
      </c>
      <c r="D358" s="105"/>
      <c r="E358" s="106"/>
      <c r="F358" s="107"/>
      <c r="G358" s="87"/>
    </row>
    <row r="359" ht="15.75" customHeight="1">
      <c r="A359" s="95"/>
      <c r="B359" s="104"/>
      <c r="C359" s="97" t="str">
        <f>VLOOKUP(B359,Stock!$A$2:$B$133,2,0)</f>
        <v>#N/A</v>
      </c>
      <c r="D359" s="105"/>
      <c r="E359" s="106"/>
      <c r="F359" s="107"/>
      <c r="G359" s="87"/>
    </row>
    <row r="360" ht="15.75" customHeight="1">
      <c r="A360" s="95"/>
      <c r="B360" s="104"/>
      <c r="C360" s="97" t="str">
        <f>VLOOKUP(B360,Stock!$A$2:$B$133,2,0)</f>
        <v>#N/A</v>
      </c>
      <c r="D360" s="105"/>
      <c r="E360" s="106"/>
      <c r="F360" s="107"/>
      <c r="G360" s="87"/>
    </row>
    <row r="361" ht="15.75" customHeight="1">
      <c r="A361" s="95"/>
      <c r="B361" s="104"/>
      <c r="C361" s="97" t="str">
        <f>VLOOKUP(B361,Stock!$A$2:$B$133,2,0)</f>
        <v>#N/A</v>
      </c>
      <c r="D361" s="105"/>
      <c r="E361" s="106"/>
      <c r="F361" s="107"/>
      <c r="G361" s="87"/>
    </row>
    <row r="362" ht="15.75" customHeight="1">
      <c r="A362" s="95"/>
      <c r="B362" s="104"/>
      <c r="C362" s="97" t="str">
        <f>VLOOKUP(B362,Stock!$A$2:$B$133,2,0)</f>
        <v>#N/A</v>
      </c>
      <c r="D362" s="105"/>
      <c r="E362" s="106"/>
      <c r="F362" s="107"/>
      <c r="G362" s="87"/>
    </row>
    <row r="363" ht="15.75" customHeight="1">
      <c r="A363" s="95"/>
      <c r="B363" s="104"/>
      <c r="C363" s="97" t="str">
        <f>VLOOKUP(B363,Stock!$A$2:$B$133,2,0)</f>
        <v>#N/A</v>
      </c>
      <c r="D363" s="105"/>
      <c r="E363" s="106"/>
      <c r="F363" s="107"/>
      <c r="G363" s="87"/>
    </row>
    <row r="364" ht="15.75" customHeight="1">
      <c r="A364" s="95"/>
      <c r="B364" s="104"/>
      <c r="C364" s="97" t="str">
        <f>VLOOKUP(B364,Stock!$A$2:$B$133,2,0)</f>
        <v>#N/A</v>
      </c>
      <c r="D364" s="105"/>
      <c r="E364" s="106"/>
      <c r="F364" s="107"/>
      <c r="G364" s="87"/>
    </row>
    <row r="365" ht="15.75" customHeight="1">
      <c r="A365" s="95"/>
      <c r="B365" s="104"/>
      <c r="C365" s="97" t="str">
        <f>VLOOKUP(B365,Stock!$A$2:$B$133,2,0)</f>
        <v>#N/A</v>
      </c>
      <c r="D365" s="105"/>
      <c r="E365" s="106"/>
      <c r="F365" s="107"/>
      <c r="G365" s="87"/>
    </row>
    <row r="366" ht="15.75" customHeight="1">
      <c r="A366" s="95"/>
      <c r="B366" s="104"/>
      <c r="C366" s="97" t="str">
        <f>VLOOKUP(B366,Stock!$A$2:$B$133,2,0)</f>
        <v>#N/A</v>
      </c>
      <c r="D366" s="105"/>
      <c r="E366" s="106"/>
      <c r="F366" s="107"/>
      <c r="G366" s="87"/>
    </row>
    <row r="367" ht="15.75" customHeight="1">
      <c r="A367" s="95"/>
      <c r="B367" s="104"/>
      <c r="C367" s="97" t="str">
        <f>VLOOKUP(B367,Stock!$A$2:$B$133,2,0)</f>
        <v>#N/A</v>
      </c>
      <c r="D367" s="105"/>
      <c r="E367" s="106"/>
      <c r="F367" s="107"/>
      <c r="G367" s="87"/>
    </row>
    <row r="368" ht="15.75" customHeight="1">
      <c r="A368" s="95"/>
      <c r="B368" s="104"/>
      <c r="C368" s="97" t="str">
        <f>VLOOKUP(B368,Stock!$A$2:$B$133,2,0)</f>
        <v>#N/A</v>
      </c>
      <c r="D368" s="105"/>
      <c r="E368" s="106"/>
      <c r="F368" s="107"/>
      <c r="G368" s="87"/>
    </row>
    <row r="369" ht="15.75" customHeight="1">
      <c r="A369" s="95"/>
      <c r="B369" s="104"/>
      <c r="C369" s="97" t="str">
        <f>VLOOKUP(B369,Stock!$A$2:$B$133,2,0)</f>
        <v>#N/A</v>
      </c>
      <c r="D369" s="105"/>
      <c r="E369" s="106"/>
      <c r="F369" s="107"/>
      <c r="G369" s="87"/>
    </row>
    <row r="370" ht="15.75" customHeight="1">
      <c r="A370" s="95"/>
      <c r="B370" s="104"/>
      <c r="C370" s="97" t="str">
        <f>VLOOKUP(B370,Stock!$A$2:$B$133,2,0)</f>
        <v>#N/A</v>
      </c>
      <c r="D370" s="105"/>
      <c r="E370" s="106"/>
      <c r="F370" s="107"/>
      <c r="G370" s="87"/>
    </row>
    <row r="371" ht="15.75" customHeight="1">
      <c r="A371" s="95"/>
      <c r="B371" s="104"/>
      <c r="C371" s="97" t="str">
        <f>VLOOKUP(B371,Stock!$A$2:$B$133,2,0)</f>
        <v>#N/A</v>
      </c>
      <c r="D371" s="105"/>
      <c r="E371" s="106"/>
      <c r="F371" s="107"/>
      <c r="G371" s="87"/>
    </row>
    <row r="372" ht="15.75" customHeight="1">
      <c r="A372" s="95"/>
      <c r="B372" s="104"/>
      <c r="C372" s="97" t="str">
        <f>VLOOKUP(B372,Stock!$A$2:$B$133,2,0)</f>
        <v>#N/A</v>
      </c>
      <c r="D372" s="105"/>
      <c r="E372" s="106"/>
      <c r="F372" s="107"/>
      <c r="G372" s="87"/>
    </row>
    <row r="373" ht="15.75" customHeight="1">
      <c r="A373" s="95"/>
      <c r="B373" s="104"/>
      <c r="C373" s="97" t="str">
        <f>VLOOKUP(B373,Stock!$A$2:$B$133,2,0)</f>
        <v>#N/A</v>
      </c>
      <c r="D373" s="105"/>
      <c r="E373" s="106"/>
      <c r="F373" s="107"/>
      <c r="G373" s="87"/>
    </row>
    <row r="374" ht="15.75" customHeight="1">
      <c r="A374" s="95"/>
      <c r="B374" s="104"/>
      <c r="C374" s="97" t="str">
        <f>VLOOKUP(B374,Stock!$A$2:$B$133,2,0)</f>
        <v>#N/A</v>
      </c>
      <c r="D374" s="105"/>
      <c r="E374" s="106"/>
      <c r="F374" s="107"/>
      <c r="G374" s="87"/>
    </row>
    <row r="375" ht="15.75" customHeight="1">
      <c r="A375" s="95"/>
      <c r="B375" s="104"/>
      <c r="C375" s="97" t="str">
        <f>VLOOKUP(B375,Stock!$A$2:$B$133,2,0)</f>
        <v>#N/A</v>
      </c>
      <c r="D375" s="105"/>
      <c r="E375" s="106"/>
      <c r="F375" s="107"/>
      <c r="G375" s="87"/>
    </row>
    <row r="376" ht="15.75" customHeight="1">
      <c r="A376" s="95"/>
      <c r="B376" s="104"/>
      <c r="C376" s="97" t="str">
        <f>VLOOKUP(B376,Stock!$A$2:$B$133,2,0)</f>
        <v>#N/A</v>
      </c>
      <c r="D376" s="105"/>
      <c r="E376" s="106"/>
      <c r="F376" s="107"/>
      <c r="G376" s="87"/>
    </row>
    <row r="377" ht="15.75" customHeight="1">
      <c r="A377" s="95"/>
      <c r="B377" s="104"/>
      <c r="C377" s="97" t="str">
        <f>VLOOKUP(B377,Stock!$A$2:$B$133,2,0)</f>
        <v>#N/A</v>
      </c>
      <c r="D377" s="105"/>
      <c r="E377" s="106"/>
      <c r="F377" s="107"/>
      <c r="G377" s="87"/>
    </row>
    <row r="378" ht="15.75" customHeight="1">
      <c r="A378" s="95"/>
      <c r="B378" s="104"/>
      <c r="C378" s="97" t="str">
        <f>VLOOKUP(B378,Stock!$A$2:$B$133,2,0)</f>
        <v>#N/A</v>
      </c>
      <c r="D378" s="105"/>
      <c r="E378" s="106"/>
      <c r="F378" s="107"/>
      <c r="G378" s="87"/>
    </row>
    <row r="379" ht="15.75" customHeight="1">
      <c r="A379" s="95"/>
      <c r="B379" s="104"/>
      <c r="C379" s="97" t="str">
        <f>VLOOKUP(B379,Stock!$A$2:$B$133,2,0)</f>
        <v>#N/A</v>
      </c>
      <c r="D379" s="105"/>
      <c r="E379" s="106"/>
      <c r="F379" s="107"/>
      <c r="G379" s="87"/>
    </row>
    <row r="380" ht="15.75" customHeight="1">
      <c r="A380" s="95"/>
      <c r="B380" s="104"/>
      <c r="C380" s="97" t="str">
        <f>VLOOKUP(B380,Stock!$A$2:$B$133,2,0)</f>
        <v>#N/A</v>
      </c>
      <c r="D380" s="105"/>
      <c r="E380" s="106"/>
      <c r="F380" s="107"/>
      <c r="G380" s="87"/>
    </row>
    <row r="381" ht="15.75" customHeight="1">
      <c r="A381" s="95"/>
      <c r="B381" s="104"/>
      <c r="C381" s="97" t="str">
        <f>VLOOKUP(B381,Stock!$A$2:$B$133,2,0)</f>
        <v>#N/A</v>
      </c>
      <c r="D381" s="105"/>
      <c r="E381" s="106"/>
      <c r="F381" s="107"/>
      <c r="G381" s="87"/>
    </row>
    <row r="382" ht="15.75" customHeight="1">
      <c r="A382" s="95"/>
      <c r="B382" s="104"/>
      <c r="C382" s="97" t="str">
        <f>VLOOKUP(B382,Stock!$A$2:$B$133,2,0)</f>
        <v>#N/A</v>
      </c>
      <c r="D382" s="105"/>
      <c r="E382" s="106"/>
      <c r="F382" s="107"/>
      <c r="G382" s="87"/>
    </row>
    <row r="383" ht="15.75" customHeight="1">
      <c r="A383" s="95"/>
      <c r="B383" s="104"/>
      <c r="C383" s="97" t="str">
        <f>VLOOKUP(B383,Stock!$A$2:$B$133,2,0)</f>
        <v>#N/A</v>
      </c>
      <c r="D383" s="105"/>
      <c r="E383" s="106"/>
      <c r="F383" s="107"/>
      <c r="G383" s="87"/>
    </row>
    <row r="384" ht="15.75" customHeight="1">
      <c r="A384" s="95"/>
      <c r="B384" s="104"/>
      <c r="C384" s="97" t="str">
        <f>VLOOKUP(B384,Stock!$A$2:$B$133,2,0)</f>
        <v>#N/A</v>
      </c>
      <c r="D384" s="105"/>
      <c r="E384" s="106"/>
      <c r="F384" s="107"/>
      <c r="G384" s="87"/>
    </row>
    <row r="385" ht="15.75" customHeight="1">
      <c r="A385" s="95"/>
      <c r="B385" s="104"/>
      <c r="C385" s="97" t="str">
        <f>VLOOKUP(B385,Stock!$A$2:$B$133,2,0)</f>
        <v>#N/A</v>
      </c>
      <c r="D385" s="105"/>
      <c r="E385" s="106"/>
      <c r="F385" s="107"/>
      <c r="G385" s="87"/>
    </row>
    <row r="386" ht="15.75" customHeight="1">
      <c r="A386" s="95"/>
      <c r="B386" s="104"/>
      <c r="C386" s="97" t="str">
        <f>VLOOKUP(B386,Stock!$A$2:$B$133,2,0)</f>
        <v>#N/A</v>
      </c>
      <c r="D386" s="105"/>
      <c r="E386" s="106"/>
      <c r="F386" s="107"/>
      <c r="G386" s="87"/>
    </row>
    <row r="387" ht="15.75" customHeight="1">
      <c r="A387" s="95"/>
      <c r="B387" s="104"/>
      <c r="C387" s="97" t="str">
        <f>VLOOKUP(B387,Stock!$A$2:$B$133,2,0)</f>
        <v>#N/A</v>
      </c>
      <c r="D387" s="105"/>
      <c r="E387" s="106"/>
      <c r="F387" s="107"/>
      <c r="G387" s="87"/>
    </row>
    <row r="388" ht="15.75" customHeight="1">
      <c r="A388" s="95"/>
      <c r="B388" s="104"/>
      <c r="C388" s="97" t="str">
        <f>VLOOKUP(B388,Stock!$A$2:$B$133,2,0)</f>
        <v>#N/A</v>
      </c>
      <c r="D388" s="105"/>
      <c r="E388" s="106"/>
      <c r="F388" s="107"/>
      <c r="G388" s="87"/>
    </row>
    <row r="389" ht="15.75" customHeight="1">
      <c r="A389" s="95"/>
      <c r="B389" s="104"/>
      <c r="C389" s="97" t="str">
        <f>VLOOKUP(B389,Stock!$A$2:$B$133,2,0)</f>
        <v>#N/A</v>
      </c>
      <c r="D389" s="105"/>
      <c r="E389" s="106"/>
      <c r="F389" s="107"/>
      <c r="G389" s="87"/>
    </row>
    <row r="390" ht="15.75" customHeight="1">
      <c r="A390" s="95"/>
      <c r="B390" s="104"/>
      <c r="C390" s="97" t="str">
        <f>VLOOKUP(B390,Stock!$A$2:$B$133,2,0)</f>
        <v>#N/A</v>
      </c>
      <c r="D390" s="105"/>
      <c r="E390" s="106"/>
      <c r="F390" s="107"/>
      <c r="G390" s="87"/>
    </row>
    <row r="391" ht="15.75" customHeight="1">
      <c r="A391" s="95"/>
      <c r="B391" s="104"/>
      <c r="C391" s="97" t="str">
        <f>VLOOKUP(B391,Stock!$A$2:$B$133,2,0)</f>
        <v>#N/A</v>
      </c>
      <c r="D391" s="105"/>
      <c r="E391" s="106"/>
      <c r="F391" s="107"/>
      <c r="G391" s="87"/>
    </row>
    <row r="392" ht="15.75" customHeight="1">
      <c r="A392" s="95"/>
      <c r="B392" s="104"/>
      <c r="C392" s="97" t="str">
        <f>VLOOKUP(B392,Stock!$A$2:$B$133,2,0)</f>
        <v>#N/A</v>
      </c>
      <c r="D392" s="105"/>
      <c r="E392" s="106"/>
      <c r="F392" s="107"/>
      <c r="G392" s="87"/>
    </row>
    <row r="393" ht="15.75" customHeight="1">
      <c r="A393" s="95"/>
      <c r="B393" s="104"/>
      <c r="C393" s="97" t="str">
        <f>VLOOKUP(B393,Stock!$A$2:$B$133,2,0)</f>
        <v>#N/A</v>
      </c>
      <c r="D393" s="105"/>
      <c r="E393" s="106"/>
      <c r="F393" s="107"/>
      <c r="G393" s="87"/>
    </row>
    <row r="394" ht="15.75" customHeight="1">
      <c r="A394" s="95"/>
      <c r="B394" s="104"/>
      <c r="C394" s="97" t="str">
        <f>VLOOKUP(B394,Stock!$A$2:$B$133,2,0)</f>
        <v>#N/A</v>
      </c>
      <c r="D394" s="105"/>
      <c r="E394" s="106"/>
      <c r="F394" s="107"/>
      <c r="G394" s="87"/>
    </row>
    <row r="395" ht="15.75" customHeight="1">
      <c r="A395" s="95"/>
      <c r="B395" s="104"/>
      <c r="C395" s="97" t="str">
        <f>VLOOKUP(B395,Stock!$A$2:$B$133,2,0)</f>
        <v>#N/A</v>
      </c>
      <c r="D395" s="105"/>
      <c r="E395" s="106"/>
      <c r="F395" s="107"/>
      <c r="G395" s="87"/>
    </row>
    <row r="396" ht="15.75" customHeight="1">
      <c r="A396" s="95"/>
      <c r="B396" s="104"/>
      <c r="C396" s="97" t="str">
        <f>VLOOKUP(B396,Stock!$A$2:$B$133,2,0)</f>
        <v>#N/A</v>
      </c>
      <c r="D396" s="105"/>
      <c r="E396" s="106"/>
      <c r="F396" s="107"/>
      <c r="G396" s="87"/>
    </row>
    <row r="397" ht="15.75" customHeight="1">
      <c r="A397" s="95"/>
      <c r="B397" s="104"/>
      <c r="C397" s="97" t="str">
        <f>VLOOKUP(B397,Stock!$A$2:$B$133,2,0)</f>
        <v>#N/A</v>
      </c>
      <c r="D397" s="105"/>
      <c r="E397" s="106"/>
      <c r="F397" s="107"/>
      <c r="G397" s="87"/>
    </row>
    <row r="398" ht="15.75" customHeight="1">
      <c r="A398" s="95"/>
      <c r="B398" s="104"/>
      <c r="C398" s="97" t="str">
        <f>VLOOKUP(B398,Stock!$A$2:$B$133,2,0)</f>
        <v>#N/A</v>
      </c>
      <c r="D398" s="105"/>
      <c r="E398" s="106"/>
      <c r="F398" s="107"/>
      <c r="G398" s="87"/>
    </row>
    <row r="399" ht="15.75" customHeight="1">
      <c r="A399" s="95"/>
      <c r="B399" s="104"/>
      <c r="C399" s="97" t="str">
        <f>VLOOKUP(B399,Stock!$A$2:$B$133,2,0)</f>
        <v>#N/A</v>
      </c>
      <c r="D399" s="105"/>
      <c r="E399" s="106"/>
      <c r="F399" s="107"/>
      <c r="G399" s="87"/>
    </row>
    <row r="400" ht="15.75" customHeight="1">
      <c r="A400" s="95"/>
      <c r="B400" s="104"/>
      <c r="C400" s="97" t="str">
        <f>VLOOKUP(B400,Stock!$A$2:$B$133,2,0)</f>
        <v>#N/A</v>
      </c>
      <c r="D400" s="105"/>
      <c r="E400" s="106"/>
      <c r="F400" s="107"/>
      <c r="G400" s="87"/>
    </row>
    <row r="401" ht="15.75" customHeight="1">
      <c r="A401" s="95"/>
      <c r="B401" s="104"/>
      <c r="C401" s="97" t="str">
        <f>VLOOKUP(B401,Stock!$A$2:$B$133,2,0)</f>
        <v>#N/A</v>
      </c>
      <c r="D401" s="105"/>
      <c r="E401" s="106"/>
      <c r="F401" s="107"/>
      <c r="G401" s="87"/>
    </row>
    <row r="402" ht="15.75" customHeight="1">
      <c r="A402" s="95"/>
      <c r="B402" s="104"/>
      <c r="C402" s="97" t="str">
        <f>VLOOKUP(B402,Stock!$A$2:$B$133,2,0)</f>
        <v>#N/A</v>
      </c>
      <c r="D402" s="105"/>
      <c r="E402" s="106"/>
      <c r="F402" s="107"/>
      <c r="G402" s="87"/>
    </row>
    <row r="403" ht="15.75" customHeight="1">
      <c r="A403" s="95"/>
      <c r="B403" s="104"/>
      <c r="C403" s="97" t="str">
        <f>VLOOKUP(B403,Stock!$A$2:$B$133,2,0)</f>
        <v>#N/A</v>
      </c>
      <c r="D403" s="105"/>
      <c r="E403" s="106"/>
      <c r="F403" s="107"/>
      <c r="G403" s="87"/>
    </row>
    <row r="404" ht="15.75" customHeight="1">
      <c r="A404" s="95"/>
      <c r="B404" s="104"/>
      <c r="C404" s="97" t="str">
        <f>VLOOKUP(B404,Stock!$A$2:$B$133,2,0)</f>
        <v>#N/A</v>
      </c>
      <c r="D404" s="105"/>
      <c r="E404" s="106"/>
      <c r="F404" s="107"/>
      <c r="G404" s="87"/>
    </row>
    <row r="405" ht="15.75" customHeight="1">
      <c r="A405" s="95"/>
      <c r="B405" s="104"/>
      <c r="C405" s="97" t="str">
        <f>VLOOKUP(B405,Stock!$A$2:$B$133,2,0)</f>
        <v>#N/A</v>
      </c>
      <c r="D405" s="105"/>
      <c r="E405" s="106"/>
      <c r="F405" s="107"/>
      <c r="G405" s="87"/>
    </row>
    <row r="406" ht="15.75" customHeight="1">
      <c r="A406" s="95"/>
      <c r="B406" s="104"/>
      <c r="C406" s="97" t="str">
        <f>VLOOKUP(B406,Stock!$A$2:$B$133,2,0)</f>
        <v>#N/A</v>
      </c>
      <c r="D406" s="105"/>
      <c r="E406" s="106"/>
      <c r="F406" s="107"/>
      <c r="G406" s="87"/>
    </row>
    <row r="407" ht="15.75" customHeight="1">
      <c r="A407" s="95"/>
      <c r="B407" s="104"/>
      <c r="C407" s="97" t="str">
        <f>VLOOKUP(B407,Stock!$A$2:$B$133,2,0)</f>
        <v>#N/A</v>
      </c>
      <c r="D407" s="105"/>
      <c r="E407" s="106"/>
      <c r="F407" s="107"/>
      <c r="G407" s="87"/>
    </row>
    <row r="408" ht="15.75" customHeight="1">
      <c r="A408" s="95"/>
      <c r="B408" s="104"/>
      <c r="C408" s="97" t="str">
        <f>VLOOKUP(B408,Stock!$A$2:$B$133,2,0)</f>
        <v>#N/A</v>
      </c>
      <c r="D408" s="105"/>
      <c r="E408" s="106"/>
      <c r="F408" s="107"/>
      <c r="G408" s="87"/>
    </row>
    <row r="409" ht="15.75" customHeight="1">
      <c r="A409" s="95"/>
      <c r="B409" s="104"/>
      <c r="C409" s="97" t="str">
        <f>VLOOKUP(B409,Stock!$A$2:$B$133,2,0)</f>
        <v>#N/A</v>
      </c>
      <c r="D409" s="105"/>
      <c r="E409" s="106"/>
      <c r="F409" s="107"/>
      <c r="G409" s="87"/>
    </row>
    <row r="410" ht="15.75" customHeight="1">
      <c r="A410" s="95"/>
      <c r="B410" s="104"/>
      <c r="C410" s="97" t="str">
        <f>VLOOKUP(B410,Stock!$A$2:$B$133,2,0)</f>
        <v>#N/A</v>
      </c>
      <c r="D410" s="105"/>
      <c r="E410" s="106"/>
      <c r="F410" s="107"/>
      <c r="G410" s="87"/>
    </row>
    <row r="411" ht="15.75" customHeight="1">
      <c r="A411" s="95"/>
      <c r="B411" s="104"/>
      <c r="C411" s="97" t="str">
        <f>VLOOKUP(B411,Stock!$A$2:$B$133,2,0)</f>
        <v>#N/A</v>
      </c>
      <c r="D411" s="105"/>
      <c r="E411" s="106"/>
      <c r="F411" s="107"/>
      <c r="G411" s="87"/>
    </row>
    <row r="412" ht="15.75" customHeight="1">
      <c r="A412" s="95"/>
      <c r="B412" s="104"/>
      <c r="C412" s="97" t="str">
        <f>VLOOKUP(B412,Stock!$A$2:$B$133,2,0)</f>
        <v>#N/A</v>
      </c>
      <c r="D412" s="105"/>
      <c r="E412" s="106"/>
      <c r="F412" s="107"/>
      <c r="G412" s="87"/>
    </row>
    <row r="413" ht="15.75" customHeight="1">
      <c r="A413" s="95"/>
      <c r="B413" s="104"/>
      <c r="C413" s="97" t="str">
        <f>VLOOKUP(B413,Stock!$A$2:$B$133,2,0)</f>
        <v>#N/A</v>
      </c>
      <c r="D413" s="105"/>
      <c r="E413" s="106"/>
      <c r="F413" s="107"/>
      <c r="G413" s="87"/>
    </row>
    <row r="414" ht="15.75" customHeight="1">
      <c r="A414" s="95"/>
      <c r="B414" s="104"/>
      <c r="C414" s="97" t="str">
        <f>VLOOKUP(B414,Stock!$A$2:$B$133,2,0)</f>
        <v>#N/A</v>
      </c>
      <c r="D414" s="105"/>
      <c r="E414" s="106"/>
      <c r="F414" s="107"/>
      <c r="G414" s="87"/>
    </row>
    <row r="415" ht="15.75" customHeight="1">
      <c r="A415" s="95"/>
      <c r="B415" s="104"/>
      <c r="C415" s="97" t="str">
        <f>VLOOKUP(B415,Stock!$A$2:$B$133,2,0)</f>
        <v>#N/A</v>
      </c>
      <c r="D415" s="105"/>
      <c r="E415" s="106"/>
      <c r="F415" s="107"/>
      <c r="G415" s="87"/>
    </row>
    <row r="416" ht="15.75" customHeight="1">
      <c r="A416" s="95"/>
      <c r="B416" s="104"/>
      <c r="C416" s="97" t="str">
        <f>VLOOKUP(B416,Stock!$A$2:$B$133,2,0)</f>
        <v>#N/A</v>
      </c>
      <c r="D416" s="105"/>
      <c r="E416" s="106"/>
      <c r="F416" s="107"/>
      <c r="G416" s="87"/>
    </row>
    <row r="417" ht="15.75" customHeight="1">
      <c r="A417" s="95"/>
      <c r="B417" s="104"/>
      <c r="C417" s="97" t="str">
        <f>VLOOKUP(B417,Stock!$A$2:$B$133,2,0)</f>
        <v>#N/A</v>
      </c>
      <c r="D417" s="105"/>
      <c r="E417" s="106"/>
      <c r="F417" s="107"/>
      <c r="G417" s="87"/>
    </row>
    <row r="418" ht="15.75" customHeight="1">
      <c r="A418" s="95"/>
      <c r="B418" s="104"/>
      <c r="C418" s="97" t="str">
        <f>VLOOKUP(B418,Stock!$A$2:$B$133,2,0)</f>
        <v>#N/A</v>
      </c>
      <c r="D418" s="105"/>
      <c r="E418" s="106"/>
      <c r="F418" s="107"/>
      <c r="G418" s="87"/>
    </row>
    <row r="419" ht="15.75" customHeight="1">
      <c r="A419" s="95"/>
      <c r="B419" s="104"/>
      <c r="C419" s="97" t="str">
        <f>VLOOKUP(B419,Stock!$A$2:$B$133,2,0)</f>
        <v>#N/A</v>
      </c>
      <c r="D419" s="105"/>
      <c r="E419" s="106"/>
      <c r="F419" s="107"/>
      <c r="G419" s="87"/>
    </row>
    <row r="420" ht="15.75" customHeight="1">
      <c r="A420" s="95"/>
      <c r="B420" s="104"/>
      <c r="C420" s="97" t="str">
        <f>VLOOKUP(B420,Stock!$A$2:$B$133,2,0)</f>
        <v>#N/A</v>
      </c>
      <c r="D420" s="105"/>
      <c r="E420" s="106"/>
      <c r="F420" s="107"/>
      <c r="G420" s="87"/>
    </row>
    <row r="421" ht="15.75" customHeight="1">
      <c r="A421" s="95"/>
      <c r="B421" s="104"/>
      <c r="C421" s="97" t="str">
        <f>VLOOKUP(B421,Stock!$A$2:$B$133,2,0)</f>
        <v>#N/A</v>
      </c>
      <c r="D421" s="105"/>
      <c r="E421" s="106"/>
      <c r="F421" s="107"/>
      <c r="G421" s="87"/>
    </row>
    <row r="422" ht="15.75" customHeight="1">
      <c r="A422" s="95"/>
      <c r="B422" s="104"/>
      <c r="C422" s="97" t="str">
        <f>VLOOKUP(B422,Stock!$A$2:$B$133,2,0)</f>
        <v>#N/A</v>
      </c>
      <c r="D422" s="105"/>
      <c r="E422" s="106"/>
      <c r="F422" s="107"/>
      <c r="G422" s="87"/>
    </row>
    <row r="423" ht="15.75" customHeight="1">
      <c r="A423" s="95"/>
      <c r="B423" s="104"/>
      <c r="C423" s="97" t="str">
        <f>VLOOKUP(B423,Stock!$A$2:$B$133,2,0)</f>
        <v>#N/A</v>
      </c>
      <c r="D423" s="105"/>
      <c r="E423" s="106"/>
      <c r="F423" s="107"/>
      <c r="G423" s="87"/>
    </row>
    <row r="424" ht="15.75" customHeight="1">
      <c r="A424" s="95"/>
      <c r="B424" s="104"/>
      <c r="C424" s="97" t="str">
        <f>VLOOKUP(B424,Stock!$A$2:$B$133,2,0)</f>
        <v>#N/A</v>
      </c>
      <c r="D424" s="105"/>
      <c r="E424" s="106"/>
      <c r="F424" s="107"/>
      <c r="G424" s="87"/>
    </row>
    <row r="425" ht="15.75" customHeight="1">
      <c r="A425" s="95"/>
      <c r="B425" s="104"/>
      <c r="C425" s="97" t="str">
        <f>VLOOKUP(B425,Stock!$A$2:$B$133,2,0)</f>
        <v>#N/A</v>
      </c>
      <c r="D425" s="105"/>
      <c r="E425" s="106"/>
      <c r="F425" s="107"/>
      <c r="G425" s="87"/>
    </row>
    <row r="426" ht="15.75" customHeight="1">
      <c r="A426" s="95"/>
      <c r="B426" s="104"/>
      <c r="C426" s="97" t="str">
        <f>VLOOKUP(B426,Stock!$A$2:$B$133,2,0)</f>
        <v>#N/A</v>
      </c>
      <c r="D426" s="105"/>
      <c r="E426" s="106"/>
      <c r="F426" s="107"/>
      <c r="G426" s="87"/>
    </row>
    <row r="427" ht="15.75" customHeight="1">
      <c r="A427" s="95"/>
      <c r="B427" s="104"/>
      <c r="C427" s="97" t="str">
        <f>VLOOKUP(B427,Stock!$A$2:$B$133,2,0)</f>
        <v>#N/A</v>
      </c>
      <c r="D427" s="105"/>
      <c r="E427" s="106"/>
      <c r="F427" s="107"/>
      <c r="G427" s="87"/>
    </row>
    <row r="428" ht="15.75" customHeight="1">
      <c r="A428" s="95"/>
      <c r="B428" s="104"/>
      <c r="C428" s="97" t="str">
        <f>VLOOKUP(B428,Stock!$A$2:$B$133,2,0)</f>
        <v>#N/A</v>
      </c>
      <c r="D428" s="105"/>
      <c r="E428" s="106"/>
      <c r="F428" s="107"/>
      <c r="G428" s="87"/>
    </row>
    <row r="429" ht="15.75" customHeight="1">
      <c r="A429" s="95"/>
      <c r="B429" s="104"/>
      <c r="C429" s="97" t="str">
        <f>VLOOKUP(B429,Stock!$A$2:$B$133,2,0)</f>
        <v>#N/A</v>
      </c>
      <c r="D429" s="105"/>
      <c r="E429" s="106"/>
      <c r="F429" s="107"/>
      <c r="G429" s="87"/>
    </row>
    <row r="430" ht="15.75" customHeight="1">
      <c r="A430" s="95"/>
      <c r="B430" s="104"/>
      <c r="C430" s="97" t="str">
        <f>VLOOKUP(B430,Stock!$A$2:$B$133,2,0)</f>
        <v>#N/A</v>
      </c>
      <c r="D430" s="105"/>
      <c r="E430" s="106"/>
      <c r="F430" s="107"/>
      <c r="G430" s="87"/>
    </row>
    <row r="431" ht="15.75" customHeight="1">
      <c r="A431" s="95"/>
      <c r="B431" s="104"/>
      <c r="C431" s="97" t="str">
        <f>VLOOKUP(B431,Stock!$A$2:$B$133,2,0)</f>
        <v>#N/A</v>
      </c>
      <c r="D431" s="105"/>
      <c r="E431" s="106"/>
      <c r="F431" s="107"/>
      <c r="G431" s="87"/>
    </row>
    <row r="432" ht="15.75" customHeight="1">
      <c r="A432" s="95"/>
      <c r="B432" s="104"/>
      <c r="C432" s="97" t="str">
        <f>VLOOKUP(B432,Stock!$A$2:$B$133,2,0)</f>
        <v>#N/A</v>
      </c>
      <c r="D432" s="105"/>
      <c r="E432" s="106"/>
      <c r="F432" s="107"/>
      <c r="G432" s="87"/>
    </row>
    <row r="433" ht="15.75" customHeight="1">
      <c r="A433" s="95"/>
      <c r="B433" s="104"/>
      <c r="C433" s="97" t="str">
        <f>VLOOKUP(B433,Stock!$A$2:$B$133,2,0)</f>
        <v>#N/A</v>
      </c>
      <c r="D433" s="105"/>
      <c r="E433" s="106"/>
      <c r="F433" s="107"/>
      <c r="G433" s="87"/>
    </row>
    <row r="434" ht="15.75" customHeight="1">
      <c r="A434" s="95"/>
      <c r="B434" s="104"/>
      <c r="C434" s="97" t="str">
        <f>VLOOKUP(B434,Stock!$A$2:$B$133,2,0)</f>
        <v>#N/A</v>
      </c>
      <c r="D434" s="105"/>
      <c r="E434" s="106"/>
      <c r="F434" s="107"/>
      <c r="G434" s="87"/>
    </row>
    <row r="435" ht="15.75" customHeight="1">
      <c r="A435" s="95"/>
      <c r="B435" s="104"/>
      <c r="C435" s="97" t="str">
        <f>VLOOKUP(B435,Stock!$A$2:$B$133,2,0)</f>
        <v>#N/A</v>
      </c>
      <c r="D435" s="105"/>
      <c r="E435" s="106"/>
      <c r="F435" s="107"/>
      <c r="G435" s="87"/>
    </row>
    <row r="436" ht="15.75" customHeight="1">
      <c r="A436" s="95"/>
      <c r="B436" s="104"/>
      <c r="C436" s="97" t="str">
        <f>VLOOKUP(B436,Stock!$A$2:$B$133,2,0)</f>
        <v>#N/A</v>
      </c>
      <c r="D436" s="105"/>
      <c r="E436" s="106"/>
      <c r="F436" s="107"/>
      <c r="G436" s="87"/>
    </row>
    <row r="437" ht="15.75" customHeight="1">
      <c r="A437" s="95"/>
      <c r="B437" s="104"/>
      <c r="C437" s="97" t="str">
        <f>VLOOKUP(B437,Stock!$A$2:$B$133,2,0)</f>
        <v>#N/A</v>
      </c>
      <c r="D437" s="105"/>
      <c r="E437" s="106"/>
      <c r="F437" s="107"/>
      <c r="G437" s="87"/>
    </row>
    <row r="438" ht="15.75" customHeight="1">
      <c r="A438" s="95"/>
      <c r="B438" s="104"/>
      <c r="C438" s="97" t="str">
        <f>VLOOKUP(B438,Stock!$A$2:$B$133,2,0)</f>
        <v>#N/A</v>
      </c>
      <c r="D438" s="105"/>
      <c r="E438" s="106"/>
      <c r="F438" s="107"/>
      <c r="G438" s="87"/>
    </row>
    <row r="439" ht="15.75" customHeight="1">
      <c r="A439" s="95"/>
      <c r="B439" s="104"/>
      <c r="C439" s="97" t="str">
        <f>VLOOKUP(B439,Stock!$A$2:$B$133,2,0)</f>
        <v>#N/A</v>
      </c>
      <c r="D439" s="105"/>
      <c r="E439" s="106"/>
      <c r="F439" s="107"/>
      <c r="G439" s="87"/>
    </row>
    <row r="440" ht="15.75" customHeight="1">
      <c r="A440" s="95"/>
      <c r="B440" s="104"/>
      <c r="C440" s="97" t="str">
        <f>VLOOKUP(B440,Stock!$A$2:$B$133,2,0)</f>
        <v>#N/A</v>
      </c>
      <c r="D440" s="105"/>
      <c r="E440" s="106"/>
      <c r="F440" s="107"/>
      <c r="G440" s="87"/>
    </row>
    <row r="441" ht="15.75" customHeight="1">
      <c r="A441" s="95"/>
      <c r="B441" s="104"/>
      <c r="C441" s="97" t="str">
        <f>VLOOKUP(B441,Stock!$A$2:$B$133,2,0)</f>
        <v>#N/A</v>
      </c>
      <c r="D441" s="105"/>
      <c r="E441" s="106"/>
      <c r="F441" s="107"/>
      <c r="G441" s="87"/>
    </row>
    <row r="442" ht="15.75" customHeight="1">
      <c r="A442" s="95"/>
      <c r="B442" s="104"/>
      <c r="C442" s="97" t="str">
        <f>VLOOKUP(B442,Stock!$A$2:$B$133,2,0)</f>
        <v>#N/A</v>
      </c>
      <c r="D442" s="105"/>
      <c r="E442" s="106"/>
      <c r="F442" s="107"/>
      <c r="G442" s="87"/>
    </row>
    <row r="443" ht="15.75" customHeight="1">
      <c r="A443" s="95"/>
      <c r="B443" s="104"/>
      <c r="C443" s="97" t="str">
        <f>VLOOKUP(B443,Stock!$A$2:$B$133,2,0)</f>
        <v>#N/A</v>
      </c>
      <c r="D443" s="105"/>
      <c r="E443" s="106"/>
      <c r="F443" s="107"/>
      <c r="G443" s="87"/>
    </row>
    <row r="444" ht="15.75" customHeight="1">
      <c r="A444" s="95"/>
      <c r="B444" s="104"/>
      <c r="C444" s="97" t="str">
        <f>VLOOKUP(B444,Stock!$A$2:$B$133,2,0)</f>
        <v>#N/A</v>
      </c>
      <c r="D444" s="105"/>
      <c r="E444" s="106"/>
      <c r="F444" s="107"/>
      <c r="G444" s="87"/>
    </row>
    <row r="445" ht="15.75" customHeight="1">
      <c r="A445" s="95"/>
      <c r="B445" s="104"/>
      <c r="C445" s="97" t="str">
        <f>VLOOKUP(B445,Stock!$A$2:$B$133,2,0)</f>
        <v>#N/A</v>
      </c>
      <c r="D445" s="105"/>
      <c r="E445" s="106"/>
      <c r="F445" s="107"/>
      <c r="G445" s="87"/>
    </row>
    <row r="446" ht="15.75" customHeight="1">
      <c r="A446" s="95"/>
      <c r="B446" s="104"/>
      <c r="C446" s="97" t="str">
        <f>VLOOKUP(B446,Stock!$A$2:$B$133,2,0)</f>
        <v>#N/A</v>
      </c>
      <c r="D446" s="105"/>
      <c r="E446" s="106"/>
      <c r="F446" s="107"/>
      <c r="G446" s="87"/>
    </row>
    <row r="447" ht="15.75" customHeight="1">
      <c r="A447" s="95"/>
      <c r="B447" s="104"/>
      <c r="C447" s="97" t="str">
        <f>VLOOKUP(B447,Stock!$A$2:$B$133,2,0)</f>
        <v>#N/A</v>
      </c>
      <c r="D447" s="105"/>
      <c r="E447" s="106"/>
      <c r="F447" s="107"/>
      <c r="G447" s="87"/>
    </row>
    <row r="448" ht="15.75" customHeight="1">
      <c r="A448" s="95"/>
      <c r="B448" s="104"/>
      <c r="C448" s="97" t="str">
        <f>VLOOKUP(B448,Stock!$A$2:$B$133,2,0)</f>
        <v>#N/A</v>
      </c>
      <c r="D448" s="105"/>
      <c r="E448" s="106"/>
      <c r="F448" s="107"/>
      <c r="G448" s="87"/>
    </row>
    <row r="449" ht="15.75" customHeight="1">
      <c r="A449" s="95"/>
      <c r="B449" s="104"/>
      <c r="C449" s="97" t="str">
        <f>VLOOKUP(B449,Stock!$A$2:$B$133,2,0)</f>
        <v>#N/A</v>
      </c>
      <c r="D449" s="105"/>
      <c r="E449" s="106"/>
      <c r="F449" s="107"/>
      <c r="G449" s="87"/>
    </row>
    <row r="450" ht="15.75" customHeight="1">
      <c r="A450" s="95"/>
      <c r="B450" s="104"/>
      <c r="C450" s="97" t="str">
        <f>VLOOKUP(B450,Stock!$A$2:$B$133,2,0)</f>
        <v>#N/A</v>
      </c>
      <c r="D450" s="105"/>
      <c r="E450" s="106"/>
      <c r="F450" s="107"/>
      <c r="G450" s="87"/>
    </row>
    <row r="451" ht="15.75" customHeight="1">
      <c r="A451" s="95"/>
      <c r="B451" s="104"/>
      <c r="C451" s="97" t="str">
        <f>VLOOKUP(B451,Stock!$A$2:$B$133,2,0)</f>
        <v>#N/A</v>
      </c>
      <c r="D451" s="105"/>
      <c r="E451" s="106"/>
      <c r="F451" s="107"/>
      <c r="G451" s="87"/>
    </row>
    <row r="452" ht="15.75" customHeight="1">
      <c r="A452" s="95"/>
      <c r="B452" s="104"/>
      <c r="C452" s="97" t="str">
        <f>VLOOKUP(B452,Stock!$A$2:$B$133,2,0)</f>
        <v>#N/A</v>
      </c>
      <c r="D452" s="105"/>
      <c r="E452" s="106"/>
      <c r="F452" s="107"/>
      <c r="G452" s="87"/>
    </row>
    <row r="453" ht="15.75" customHeight="1">
      <c r="A453" s="95"/>
      <c r="B453" s="104"/>
      <c r="C453" s="97" t="str">
        <f>VLOOKUP(B453,Stock!$A$2:$B$133,2,0)</f>
        <v>#N/A</v>
      </c>
      <c r="D453" s="105"/>
      <c r="E453" s="106"/>
      <c r="F453" s="107"/>
      <c r="G453" s="87"/>
    </row>
    <row r="454" ht="15.75" customHeight="1">
      <c r="A454" s="95"/>
      <c r="B454" s="104"/>
      <c r="C454" s="97" t="str">
        <f>VLOOKUP(B454,Stock!$A$2:$B$133,2,0)</f>
        <v>#N/A</v>
      </c>
      <c r="D454" s="105"/>
      <c r="E454" s="106"/>
      <c r="F454" s="107"/>
      <c r="G454" s="87"/>
    </row>
    <row r="455" ht="15.75" customHeight="1">
      <c r="A455" s="95"/>
      <c r="B455" s="104"/>
      <c r="C455" s="97" t="str">
        <f>VLOOKUP(B455,Stock!$A$2:$B$133,2,0)</f>
        <v>#N/A</v>
      </c>
      <c r="D455" s="105"/>
      <c r="E455" s="106"/>
      <c r="F455" s="107"/>
      <c r="G455" s="87"/>
    </row>
    <row r="456" ht="15.75" customHeight="1">
      <c r="A456" s="95"/>
      <c r="B456" s="104"/>
      <c r="C456" s="97" t="str">
        <f>VLOOKUP(B456,Stock!$A$2:$B$133,2,0)</f>
        <v>#N/A</v>
      </c>
      <c r="D456" s="105"/>
      <c r="E456" s="106"/>
      <c r="F456" s="107"/>
      <c r="G456" s="87"/>
    </row>
    <row r="457" ht="15.75" customHeight="1">
      <c r="A457" s="95"/>
      <c r="B457" s="104"/>
      <c r="C457" s="97" t="str">
        <f>VLOOKUP(B457,Stock!$A$2:$B$133,2,0)</f>
        <v>#N/A</v>
      </c>
      <c r="D457" s="105"/>
      <c r="E457" s="106"/>
      <c r="F457" s="107"/>
      <c r="G457" s="87"/>
    </row>
    <row r="458" ht="15.75" customHeight="1">
      <c r="A458" s="95"/>
      <c r="B458" s="104"/>
      <c r="C458" s="97" t="str">
        <f>VLOOKUP(B458,Stock!$A$2:$B$133,2,0)</f>
        <v>#N/A</v>
      </c>
      <c r="D458" s="105"/>
      <c r="E458" s="106"/>
      <c r="F458" s="107"/>
      <c r="G458" s="87"/>
    </row>
    <row r="459" ht="15.75" customHeight="1">
      <c r="A459" s="95"/>
      <c r="B459" s="104"/>
      <c r="C459" s="97" t="str">
        <f>VLOOKUP(B459,Stock!$A$2:$B$133,2,0)</f>
        <v>#N/A</v>
      </c>
      <c r="D459" s="105"/>
      <c r="E459" s="106"/>
      <c r="F459" s="107"/>
      <c r="G459" s="87"/>
    </row>
    <row r="460" ht="15.75" customHeight="1">
      <c r="A460" s="95"/>
      <c r="B460" s="104"/>
      <c r="C460" s="97" t="str">
        <f>VLOOKUP(B460,Stock!$A$2:$B$133,2,0)</f>
        <v>#N/A</v>
      </c>
      <c r="D460" s="105"/>
      <c r="E460" s="106"/>
      <c r="F460" s="107"/>
      <c r="G460" s="87"/>
    </row>
    <row r="461" ht="15.75" customHeight="1">
      <c r="A461" s="95"/>
      <c r="B461" s="104"/>
      <c r="C461" s="97" t="str">
        <f>VLOOKUP(B461,Stock!$A$2:$B$133,2,0)</f>
        <v>#N/A</v>
      </c>
      <c r="D461" s="105"/>
      <c r="E461" s="106"/>
      <c r="F461" s="107"/>
      <c r="G461" s="87"/>
    </row>
    <row r="462" ht="15.75" customHeight="1">
      <c r="A462" s="95"/>
      <c r="B462" s="104"/>
      <c r="C462" s="97" t="str">
        <f>VLOOKUP(B462,Stock!$A$2:$B$133,2,0)</f>
        <v>#N/A</v>
      </c>
      <c r="D462" s="105"/>
      <c r="E462" s="106"/>
      <c r="F462" s="107"/>
      <c r="G462" s="87"/>
    </row>
    <row r="463" ht="15.75" customHeight="1">
      <c r="A463" s="95"/>
      <c r="B463" s="104"/>
      <c r="C463" s="97" t="str">
        <f>VLOOKUP(B463,Stock!$A$2:$B$133,2,0)</f>
        <v>#N/A</v>
      </c>
      <c r="D463" s="105"/>
      <c r="E463" s="106"/>
      <c r="F463" s="107"/>
      <c r="G463" s="87"/>
    </row>
    <row r="464" ht="15.75" customHeight="1">
      <c r="A464" s="95"/>
      <c r="B464" s="104"/>
      <c r="C464" s="97" t="str">
        <f>VLOOKUP(B464,Stock!$A$2:$B$133,2,0)</f>
        <v>#N/A</v>
      </c>
      <c r="D464" s="105"/>
      <c r="E464" s="106"/>
      <c r="F464" s="107"/>
      <c r="G464" s="87"/>
    </row>
    <row r="465" ht="15.75" customHeight="1">
      <c r="A465" s="95"/>
      <c r="B465" s="104"/>
      <c r="C465" s="97" t="str">
        <f>VLOOKUP(B465,Stock!$A$2:$B$133,2,0)</f>
        <v>#N/A</v>
      </c>
      <c r="D465" s="105"/>
      <c r="E465" s="106"/>
      <c r="F465" s="107"/>
      <c r="G465" s="87"/>
    </row>
    <row r="466" ht="15.75" customHeight="1">
      <c r="A466" s="95"/>
      <c r="B466" s="104"/>
      <c r="C466" s="97" t="str">
        <f>VLOOKUP(B466,Stock!$A$2:$B$133,2,0)</f>
        <v>#N/A</v>
      </c>
      <c r="D466" s="105"/>
      <c r="E466" s="106"/>
      <c r="F466" s="107"/>
      <c r="G466" s="87"/>
    </row>
    <row r="467" ht="15.75" customHeight="1">
      <c r="A467" s="95"/>
      <c r="B467" s="104"/>
      <c r="C467" s="97" t="str">
        <f>VLOOKUP(B467,Stock!$A$2:$B$133,2,0)</f>
        <v>#N/A</v>
      </c>
      <c r="D467" s="105"/>
      <c r="E467" s="106"/>
    </row>
    <row r="468" ht="15.75" customHeight="1">
      <c r="A468" s="95"/>
      <c r="B468" s="104"/>
      <c r="C468" s="97" t="str">
        <f>VLOOKUP(B468,Stock!$A$2:$B$133,2,0)</f>
        <v>#N/A</v>
      </c>
      <c r="D468" s="105"/>
      <c r="E468" s="106"/>
    </row>
    <row r="469" ht="15.75" customHeight="1">
      <c r="A469" s="95"/>
      <c r="B469" s="104"/>
      <c r="C469" s="97" t="str">
        <f>VLOOKUP(B469,Stock!$A$2:$B$133,2,0)</f>
        <v>#N/A</v>
      </c>
      <c r="D469" s="105"/>
      <c r="E469" s="106"/>
    </row>
    <row r="470" ht="15.75" customHeight="1">
      <c r="A470" s="95"/>
      <c r="B470" s="104"/>
      <c r="C470" s="97" t="str">
        <f>VLOOKUP(B470,Stock!$A$2:$B$133,2,0)</f>
        <v>#N/A</v>
      </c>
      <c r="D470" s="105"/>
      <c r="E470" s="106"/>
    </row>
    <row r="471" ht="15.75" customHeight="1">
      <c r="A471" s="95"/>
      <c r="B471" s="104"/>
      <c r="C471" s="97" t="str">
        <f>VLOOKUP(B471,Stock!$A$2:$B$133,2,0)</f>
        <v>#N/A</v>
      </c>
      <c r="D471" s="105"/>
      <c r="E471" s="106"/>
    </row>
    <row r="472" ht="15.75" customHeight="1">
      <c r="A472" s="95"/>
      <c r="B472" s="104"/>
      <c r="C472" s="97" t="str">
        <f>VLOOKUP(B472,Stock!$A$2:$B$133,2,0)</f>
        <v>#N/A</v>
      </c>
      <c r="D472" s="105"/>
      <c r="E472" s="106"/>
    </row>
    <row r="473" ht="15.75" customHeight="1">
      <c r="A473" s="95"/>
      <c r="B473" s="104"/>
      <c r="C473" s="97" t="str">
        <f>VLOOKUP(B473,Stock!$A$2:$B$133,2,0)</f>
        <v>#N/A</v>
      </c>
      <c r="D473" s="105"/>
      <c r="E473" s="106"/>
    </row>
    <row r="474" ht="15.75" customHeight="1">
      <c r="A474" s="95"/>
      <c r="B474" s="104"/>
      <c r="C474" s="97" t="str">
        <f>VLOOKUP(B474,Stock!$A$2:$B$133,2,0)</f>
        <v>#N/A</v>
      </c>
      <c r="D474" s="105"/>
      <c r="E474" s="106"/>
    </row>
    <row r="475" ht="15.75" customHeight="1">
      <c r="A475" s="95"/>
      <c r="B475" s="104"/>
      <c r="C475" s="97" t="str">
        <f>VLOOKUP(B475,Stock!$A$2:$B$133,2,0)</f>
        <v>#N/A</v>
      </c>
      <c r="D475" s="105"/>
      <c r="E475" s="106"/>
    </row>
    <row r="476" ht="15.75" customHeight="1">
      <c r="A476" s="95"/>
      <c r="B476" s="104"/>
      <c r="C476" s="97" t="str">
        <f>VLOOKUP(B476,Stock!$A$2:$B$133,2,0)</f>
        <v>#N/A</v>
      </c>
      <c r="D476" s="105"/>
      <c r="E476" s="106"/>
    </row>
    <row r="477" ht="15.75" customHeight="1">
      <c r="A477" s="95"/>
      <c r="B477" s="104"/>
      <c r="C477" s="97" t="str">
        <f>VLOOKUP(B477,Stock!$A$2:$B$133,2,0)</f>
        <v>#N/A</v>
      </c>
      <c r="D477" s="105"/>
      <c r="E477" s="106"/>
    </row>
    <row r="478" ht="15.75" customHeight="1">
      <c r="A478" s="95"/>
      <c r="B478" s="104"/>
      <c r="C478" s="97" t="str">
        <f>VLOOKUP(B478,Stock!$A$2:$B$133,2,0)</f>
        <v>#N/A</v>
      </c>
      <c r="D478" s="105"/>
      <c r="E478" s="106"/>
    </row>
    <row r="479" ht="15.75" customHeight="1">
      <c r="A479" s="95"/>
      <c r="B479" s="104"/>
      <c r="C479" s="97" t="str">
        <f>VLOOKUP(B479,Stock!$A$2:$B$133,2,0)</f>
        <v>#N/A</v>
      </c>
      <c r="D479" s="105"/>
      <c r="E479" s="106"/>
    </row>
    <row r="480" ht="15.75" customHeight="1">
      <c r="A480" s="95"/>
      <c r="B480" s="104"/>
      <c r="C480" s="97" t="str">
        <f>VLOOKUP(B480,Stock!$A$2:$B$133,2,0)</f>
        <v>#N/A</v>
      </c>
      <c r="D480" s="105"/>
      <c r="E480" s="106"/>
    </row>
    <row r="481" ht="15.75" customHeight="1">
      <c r="A481" s="95"/>
      <c r="B481" s="104"/>
      <c r="C481" s="97" t="str">
        <f>VLOOKUP(B481,Stock!$A$2:$B$133,2,0)</f>
        <v>#N/A</v>
      </c>
      <c r="D481" s="105"/>
      <c r="E481" s="106"/>
    </row>
    <row r="482" ht="15.75" customHeight="1">
      <c r="A482" s="95"/>
      <c r="B482" s="104"/>
      <c r="C482" s="97" t="str">
        <f>VLOOKUP(B482,Stock!$A$2:$B$133,2,0)</f>
        <v>#N/A</v>
      </c>
      <c r="D482" s="105"/>
      <c r="E482" s="106"/>
    </row>
    <row r="483" ht="15.75" customHeight="1">
      <c r="A483" s="95"/>
      <c r="B483" s="104"/>
      <c r="C483" s="97" t="str">
        <f>VLOOKUP(B483,Stock!$A$2:$B$133,2,0)</f>
        <v>#N/A</v>
      </c>
      <c r="D483" s="105"/>
      <c r="E483" s="106"/>
    </row>
    <row r="484" ht="15.75" customHeight="1">
      <c r="A484" s="95"/>
      <c r="B484" s="104"/>
      <c r="C484" s="97" t="str">
        <f>VLOOKUP(B484,Stock!$A$2:$B$133,2,0)</f>
        <v>#N/A</v>
      </c>
      <c r="D484" s="105"/>
      <c r="E484" s="106"/>
    </row>
    <row r="485" ht="15.75" customHeight="1">
      <c r="A485" s="95"/>
      <c r="B485" s="104"/>
      <c r="C485" s="97" t="str">
        <f>VLOOKUP(B485,Stock!$A$2:$B$133,2,0)</f>
        <v>#N/A</v>
      </c>
      <c r="D485" s="105"/>
      <c r="E485" s="106"/>
    </row>
    <row r="486" ht="15.75" customHeight="1">
      <c r="A486" s="95"/>
      <c r="B486" s="104"/>
      <c r="C486" s="97" t="str">
        <f>VLOOKUP(B486,Stock!$A$2:$B$133,2,0)</f>
        <v>#N/A</v>
      </c>
      <c r="D486" s="105"/>
      <c r="E486" s="106"/>
    </row>
    <row r="487" ht="15.75" customHeight="1">
      <c r="A487" s="95"/>
      <c r="B487" s="104"/>
      <c r="C487" s="97" t="str">
        <f>VLOOKUP(B487,Stock!$A$2:$B$133,2,0)</f>
        <v>#N/A</v>
      </c>
      <c r="D487" s="105"/>
      <c r="E487" s="106"/>
    </row>
    <row r="488" ht="15.75" customHeight="1">
      <c r="A488" s="95"/>
      <c r="B488" s="104"/>
      <c r="C488" s="97" t="str">
        <f>VLOOKUP(B488,Stock!$A$2:$B$133,2,0)</f>
        <v>#N/A</v>
      </c>
      <c r="D488" s="105"/>
      <c r="E488" s="106"/>
    </row>
    <row r="489" ht="15.75" customHeight="1">
      <c r="A489" s="95"/>
      <c r="B489" s="104"/>
      <c r="C489" s="97" t="str">
        <f>VLOOKUP(B489,Stock!$A$2:$B$133,2,0)</f>
        <v>#N/A</v>
      </c>
      <c r="D489" s="105"/>
      <c r="E489" s="106"/>
    </row>
    <row r="490" ht="15.75" customHeight="1">
      <c r="A490" s="95"/>
      <c r="B490" s="104"/>
      <c r="C490" s="97" t="str">
        <f>VLOOKUP(B490,Stock!$A$2:$B$133,2,0)</f>
        <v>#N/A</v>
      </c>
      <c r="D490" s="105"/>
      <c r="E490" s="106"/>
    </row>
    <row r="491" ht="15.75" customHeight="1">
      <c r="A491" s="95"/>
      <c r="B491" s="104"/>
      <c r="C491" s="97" t="str">
        <f>VLOOKUP(B491,Stock!$A$2:$B$133,2,0)</f>
        <v>#N/A</v>
      </c>
      <c r="D491" s="105"/>
      <c r="E491" s="106"/>
    </row>
    <row r="492" ht="15.75" customHeight="1">
      <c r="A492" s="95"/>
      <c r="B492" s="104"/>
      <c r="C492" s="97" t="str">
        <f>VLOOKUP(B492,Stock!$A$2:$B$133,2,0)</f>
        <v>#N/A</v>
      </c>
      <c r="D492" s="105"/>
      <c r="E492" s="106"/>
    </row>
    <row r="493" ht="15.75" customHeight="1">
      <c r="A493" s="95"/>
      <c r="B493" s="104"/>
      <c r="C493" s="97" t="str">
        <f>VLOOKUP(B493,Stock!$A$2:$B$133,2,0)</f>
        <v>#N/A</v>
      </c>
      <c r="D493" s="105"/>
      <c r="E493" s="106"/>
    </row>
    <row r="494" ht="15.75" customHeight="1">
      <c r="A494" s="95"/>
      <c r="B494" s="104"/>
      <c r="C494" s="97" t="str">
        <f>VLOOKUP(B494,Stock!$A$2:$B$133,2,0)</f>
        <v>#N/A</v>
      </c>
      <c r="D494" s="105"/>
      <c r="E494" s="106"/>
    </row>
    <row r="495" ht="15.75" customHeight="1">
      <c r="A495" s="95"/>
      <c r="B495" s="104"/>
      <c r="C495" s="97" t="str">
        <f>VLOOKUP(B495,Stock!$A$2:$B$133,2,0)</f>
        <v>#N/A</v>
      </c>
      <c r="D495" s="105"/>
      <c r="E495" s="106"/>
    </row>
    <row r="496" ht="15.75" customHeight="1">
      <c r="A496" s="95"/>
      <c r="B496" s="104"/>
      <c r="C496" s="97" t="str">
        <f>VLOOKUP(B496,Stock!$A$2:$B$133,2,0)</f>
        <v>#N/A</v>
      </c>
      <c r="D496" s="105"/>
      <c r="E496" s="106"/>
    </row>
    <row r="497" ht="15.75" customHeight="1">
      <c r="A497" s="95"/>
      <c r="B497" s="104"/>
      <c r="C497" s="97" t="str">
        <f>VLOOKUP(B497,Stock!$A$2:$B$133,2,0)</f>
        <v>#N/A</v>
      </c>
      <c r="D497" s="105"/>
      <c r="E497" s="106"/>
    </row>
    <row r="498" ht="15.75" customHeight="1">
      <c r="A498" s="95"/>
      <c r="B498" s="104"/>
      <c r="C498" s="97" t="str">
        <f>VLOOKUP(B498,Stock!$A$2:$B$133,2,0)</f>
        <v>#N/A</v>
      </c>
      <c r="D498" s="105"/>
      <c r="E498" s="106"/>
    </row>
    <row r="499" ht="15.75" customHeight="1">
      <c r="A499" s="95"/>
      <c r="B499" s="104"/>
      <c r="C499" s="97" t="str">
        <f>VLOOKUP(B499,Stock!$A$2:$B$133,2,0)</f>
        <v>#N/A</v>
      </c>
      <c r="D499" s="105"/>
      <c r="E499" s="106"/>
    </row>
    <row r="500" ht="15.75" customHeight="1">
      <c r="A500" s="95"/>
      <c r="B500" s="104"/>
      <c r="C500" s="97" t="str">
        <f>VLOOKUP(B500,Stock!$A$2:$B$133,2,0)</f>
        <v>#N/A</v>
      </c>
      <c r="D500" s="105"/>
      <c r="E500" s="106"/>
    </row>
    <row r="501" ht="15.75" customHeight="1">
      <c r="A501" s="95"/>
      <c r="B501" s="104"/>
      <c r="C501" s="97" t="str">
        <f>VLOOKUP(B501,Stock!$A$2:$B$133,2,0)</f>
        <v>#N/A</v>
      </c>
      <c r="D501" s="105"/>
      <c r="E501" s="106"/>
    </row>
    <row r="502" ht="15.75" customHeight="1">
      <c r="A502" s="95"/>
      <c r="B502" s="104"/>
      <c r="C502" s="97" t="str">
        <f>VLOOKUP(B502,Stock!$A$2:$B$133,2,0)</f>
        <v>#N/A</v>
      </c>
      <c r="D502" s="105"/>
      <c r="E502" s="106"/>
    </row>
    <row r="503" ht="15.75" customHeight="1">
      <c r="A503" s="95"/>
      <c r="B503" s="104"/>
      <c r="C503" s="97" t="str">
        <f>VLOOKUP(B503,Stock!$A$2:$B$133,2,0)</f>
        <v>#N/A</v>
      </c>
      <c r="D503" s="105"/>
      <c r="E503" s="106"/>
    </row>
    <row r="504" ht="15.75" customHeight="1">
      <c r="A504" s="95"/>
      <c r="B504" s="104"/>
      <c r="C504" s="97" t="str">
        <f>VLOOKUP(B504,Stock!$A$2:$B$133,2,0)</f>
        <v>#N/A</v>
      </c>
      <c r="D504" s="105"/>
      <c r="E504" s="106"/>
    </row>
    <row r="505" ht="15.75" customHeight="1">
      <c r="A505" s="95"/>
      <c r="B505" s="104"/>
      <c r="C505" s="97" t="str">
        <f>VLOOKUP(B505,Stock!$A$2:$B$133,2,0)</f>
        <v>#N/A</v>
      </c>
      <c r="D505" s="105"/>
      <c r="E505" s="106"/>
    </row>
    <row r="506" ht="15.75" customHeight="1">
      <c r="A506" s="95"/>
      <c r="B506" s="104"/>
      <c r="C506" s="97" t="str">
        <f>VLOOKUP(B506,Stock!$A$2:$B$133,2,0)</f>
        <v>#N/A</v>
      </c>
      <c r="D506" s="105"/>
      <c r="E506" s="106"/>
    </row>
    <row r="507" ht="15.75" customHeight="1">
      <c r="A507" s="95"/>
      <c r="B507" s="104"/>
      <c r="C507" s="97" t="str">
        <f>VLOOKUP(B507,Stock!$A$2:$B$133,2,0)</f>
        <v>#N/A</v>
      </c>
      <c r="D507" s="105"/>
      <c r="E507" s="106"/>
    </row>
    <row r="508" ht="15.75" customHeight="1">
      <c r="A508" s="95"/>
      <c r="B508" s="104"/>
      <c r="C508" s="97" t="str">
        <f>VLOOKUP(B508,Stock!$A$2:$B$133,2,0)</f>
        <v>#N/A</v>
      </c>
      <c r="D508" s="105"/>
      <c r="E508" s="106"/>
    </row>
    <row r="509" ht="15.75" customHeight="1">
      <c r="A509" s="95"/>
      <c r="B509" s="104"/>
      <c r="C509" s="97" t="str">
        <f>VLOOKUP(B509,Stock!$A$2:$B$133,2,0)</f>
        <v>#N/A</v>
      </c>
      <c r="D509" s="105"/>
      <c r="E509" s="106"/>
    </row>
    <row r="510" ht="15.75" customHeight="1">
      <c r="A510" s="95"/>
      <c r="B510" s="104"/>
      <c r="C510" s="97" t="str">
        <f>VLOOKUP(B510,Stock!$A$2:$B$133,2,0)</f>
        <v>#N/A</v>
      </c>
      <c r="D510" s="105"/>
      <c r="E510" s="106"/>
    </row>
    <row r="511" ht="15.75" customHeight="1">
      <c r="A511" s="95"/>
      <c r="B511" s="104"/>
      <c r="C511" s="97" t="str">
        <f>VLOOKUP(B511,Stock!$A$2:$B$133,2,0)</f>
        <v>#N/A</v>
      </c>
      <c r="D511" s="105"/>
      <c r="E511" s="106"/>
    </row>
    <row r="512" ht="15.75" customHeight="1">
      <c r="A512" s="95"/>
      <c r="B512" s="104"/>
      <c r="C512" s="97" t="str">
        <f>VLOOKUP(B512,Stock!$A$2:$B$133,2,0)</f>
        <v>#N/A</v>
      </c>
      <c r="D512" s="105"/>
      <c r="E512" s="106"/>
    </row>
    <row r="513" ht="15.75" customHeight="1">
      <c r="A513" s="95"/>
      <c r="B513" s="104"/>
      <c r="C513" s="97" t="str">
        <f>VLOOKUP(B513,Stock!$A$2:$B$133,2,0)</f>
        <v>#N/A</v>
      </c>
      <c r="D513" s="105"/>
      <c r="E513" s="106"/>
    </row>
    <row r="514" ht="15.75" customHeight="1">
      <c r="A514" s="95"/>
      <c r="B514" s="104"/>
      <c r="C514" s="97" t="str">
        <f>VLOOKUP(B514,Stock!$A$2:$B$133,2,0)</f>
        <v>#N/A</v>
      </c>
      <c r="D514" s="105"/>
      <c r="E514" s="106"/>
    </row>
    <row r="515" ht="15.75" customHeight="1">
      <c r="A515" s="95"/>
      <c r="B515" s="104"/>
      <c r="C515" s="97" t="str">
        <f>VLOOKUP(B515,Stock!$A$2:$B$133,2,0)</f>
        <v>#N/A</v>
      </c>
      <c r="D515" s="105"/>
      <c r="E515" s="106"/>
    </row>
    <row r="516" ht="15.75" customHeight="1">
      <c r="A516" s="95"/>
      <c r="B516" s="104"/>
      <c r="C516" s="97" t="str">
        <f>VLOOKUP(B516,Stock!$A$2:$B$133,2,0)</f>
        <v>#N/A</v>
      </c>
      <c r="D516" s="105"/>
      <c r="E516" s="106"/>
    </row>
    <row r="517" ht="15.75" customHeight="1">
      <c r="A517" s="95"/>
      <c r="B517" s="104"/>
      <c r="C517" s="97" t="str">
        <f>VLOOKUP(B517,Stock!$A$2:$B$133,2,0)</f>
        <v>#N/A</v>
      </c>
      <c r="D517" s="105"/>
      <c r="E517" s="106"/>
    </row>
    <row r="518" ht="15.75" customHeight="1">
      <c r="A518" s="95"/>
      <c r="B518" s="104"/>
      <c r="C518" s="97" t="str">
        <f>VLOOKUP(B518,Stock!$A$2:$B$133,2,0)</f>
        <v>#N/A</v>
      </c>
      <c r="D518" s="105"/>
      <c r="E518" s="106"/>
    </row>
    <row r="519" ht="15.75" customHeight="1">
      <c r="A519" s="95"/>
      <c r="B519" s="104"/>
      <c r="C519" s="97" t="str">
        <f>VLOOKUP(B519,Stock!$A$2:$B$133,2,0)</f>
        <v>#N/A</v>
      </c>
      <c r="D519" s="105"/>
      <c r="E519" s="106"/>
    </row>
    <row r="520" ht="15.75" customHeight="1">
      <c r="A520" s="95"/>
      <c r="B520" s="104"/>
      <c r="C520" s="97" t="str">
        <f>VLOOKUP(B520,Stock!$A$2:$B$133,2,0)</f>
        <v>#N/A</v>
      </c>
      <c r="D520" s="105"/>
      <c r="E520" s="106"/>
    </row>
    <row r="521" ht="15.75" customHeight="1">
      <c r="A521" s="95"/>
      <c r="B521" s="104"/>
      <c r="C521" s="97" t="str">
        <f>VLOOKUP(B521,Stock!$A$2:$B$133,2,0)</f>
        <v>#N/A</v>
      </c>
      <c r="D521" s="105"/>
      <c r="E521" s="106"/>
    </row>
    <row r="522" ht="15.75" customHeight="1">
      <c r="A522" s="95"/>
      <c r="B522" s="104"/>
      <c r="C522" s="97" t="str">
        <f>VLOOKUP(B522,Stock!$A$2:$B$133,2,0)</f>
        <v>#N/A</v>
      </c>
      <c r="D522" s="105"/>
      <c r="E522" s="106"/>
    </row>
    <row r="523" ht="15.75" customHeight="1">
      <c r="A523" s="95"/>
      <c r="B523" s="104"/>
      <c r="C523" s="97" t="str">
        <f>VLOOKUP(B523,Stock!$A$2:$B$133,2,0)</f>
        <v>#N/A</v>
      </c>
      <c r="D523" s="105"/>
      <c r="E523" s="106"/>
    </row>
    <row r="524" ht="15.75" customHeight="1">
      <c r="A524" s="95"/>
      <c r="B524" s="104"/>
      <c r="C524" s="97" t="str">
        <f>VLOOKUP(B524,Stock!$A$2:$B$133,2,0)</f>
        <v>#N/A</v>
      </c>
      <c r="D524" s="105"/>
      <c r="E524" s="106"/>
    </row>
    <row r="525" ht="15.75" customHeight="1">
      <c r="A525" s="95"/>
      <c r="B525" s="104"/>
      <c r="C525" s="97" t="str">
        <f>VLOOKUP(B525,Stock!$A$2:$B$133,2,0)</f>
        <v>#N/A</v>
      </c>
      <c r="D525" s="105"/>
      <c r="E525" s="106"/>
    </row>
    <row r="526" ht="15.75" customHeight="1">
      <c r="A526" s="95"/>
      <c r="B526" s="104"/>
      <c r="C526" s="97" t="str">
        <f>VLOOKUP(B526,Stock!$A$2:$B$133,2,0)</f>
        <v>#N/A</v>
      </c>
      <c r="D526" s="105"/>
      <c r="E526" s="106"/>
    </row>
    <row r="527" ht="15.75" customHeight="1">
      <c r="A527" s="95"/>
      <c r="B527" s="104"/>
      <c r="C527" s="97" t="str">
        <f>VLOOKUP(B527,Stock!$A$2:$B$133,2,0)</f>
        <v>#N/A</v>
      </c>
      <c r="D527" s="105"/>
      <c r="E527" s="106"/>
    </row>
    <row r="528" ht="15.75" customHeight="1">
      <c r="A528" s="95"/>
      <c r="B528" s="104"/>
      <c r="C528" s="97" t="str">
        <f>VLOOKUP(B528,Stock!$A$2:$B$133,2,0)</f>
        <v>#N/A</v>
      </c>
      <c r="D528" s="105"/>
      <c r="E528" s="106"/>
    </row>
    <row r="529" ht="15.75" customHeight="1">
      <c r="A529" s="95"/>
      <c r="B529" s="104"/>
      <c r="C529" s="97" t="str">
        <f>VLOOKUP(B529,Stock!$A$2:$B$133,2,0)</f>
        <v>#N/A</v>
      </c>
      <c r="D529" s="105"/>
      <c r="E529" s="106"/>
    </row>
    <row r="530" ht="15.75" customHeight="1">
      <c r="A530" s="95"/>
      <c r="B530" s="104"/>
      <c r="C530" s="97" t="str">
        <f>VLOOKUP(B530,Stock!$A$2:$B$133,2,0)</f>
        <v>#N/A</v>
      </c>
      <c r="D530" s="105"/>
      <c r="E530" s="106"/>
    </row>
    <row r="531" ht="15.75" customHeight="1">
      <c r="A531" s="95"/>
      <c r="B531" s="104"/>
      <c r="C531" s="97" t="str">
        <f>VLOOKUP(B531,Stock!$A$2:$B$133,2,0)</f>
        <v>#N/A</v>
      </c>
      <c r="D531" s="105"/>
      <c r="E531" s="106"/>
    </row>
    <row r="532" ht="15.75" customHeight="1">
      <c r="A532" s="95"/>
      <c r="B532" s="104"/>
      <c r="C532" s="97" t="str">
        <f>VLOOKUP(B532,Stock!$A$2:$B$133,2,0)</f>
        <v>#N/A</v>
      </c>
      <c r="D532" s="105"/>
      <c r="E532" s="106"/>
    </row>
    <row r="533" ht="15.75" customHeight="1">
      <c r="A533" s="95"/>
      <c r="B533" s="104"/>
      <c r="C533" s="97" t="str">
        <f>VLOOKUP(B533,Stock!$A$2:$B$133,2,0)</f>
        <v>#N/A</v>
      </c>
      <c r="D533" s="105"/>
      <c r="E533" s="106"/>
    </row>
    <row r="534" ht="15.75" customHeight="1">
      <c r="A534" s="95"/>
      <c r="B534" s="104"/>
      <c r="C534" s="97" t="str">
        <f>VLOOKUP(B534,Stock!$A$2:$B$133,2,0)</f>
        <v>#N/A</v>
      </c>
      <c r="D534" s="105"/>
      <c r="E534" s="106"/>
    </row>
    <row r="535" ht="15.75" customHeight="1">
      <c r="A535" s="95"/>
      <c r="B535" s="104"/>
      <c r="C535" s="97" t="str">
        <f>VLOOKUP(B535,Stock!$A$2:$B$133,2,0)</f>
        <v>#N/A</v>
      </c>
      <c r="D535" s="105"/>
      <c r="E535" s="106"/>
    </row>
    <row r="536" ht="15.75" customHeight="1">
      <c r="A536" s="95"/>
      <c r="B536" s="104"/>
      <c r="C536" s="97" t="str">
        <f>VLOOKUP(B536,Stock!$A$2:$B$133,2,0)</f>
        <v>#N/A</v>
      </c>
      <c r="D536" s="105"/>
      <c r="E536" s="106"/>
    </row>
    <row r="537" ht="15.75" customHeight="1">
      <c r="A537" s="95"/>
      <c r="B537" s="104"/>
      <c r="C537" s="97" t="str">
        <f>VLOOKUP(B537,Stock!$A$2:$B$133,2,0)</f>
        <v>#N/A</v>
      </c>
      <c r="D537" s="105"/>
      <c r="E537" s="106"/>
    </row>
    <row r="538" ht="15.75" customHeight="1">
      <c r="A538" s="95"/>
      <c r="B538" s="104"/>
      <c r="C538" s="97" t="str">
        <f>VLOOKUP(B538,Stock!$A$2:$B$133,2,0)</f>
        <v>#N/A</v>
      </c>
      <c r="D538" s="105"/>
      <c r="E538" s="106"/>
    </row>
    <row r="539" ht="15.75" customHeight="1">
      <c r="A539" s="95"/>
      <c r="B539" s="104"/>
      <c r="C539" s="97" t="str">
        <f>VLOOKUP(B539,Stock!$A$2:$B$133,2,0)</f>
        <v>#N/A</v>
      </c>
      <c r="D539" s="105"/>
      <c r="E539" s="106"/>
    </row>
    <row r="540" ht="15.75" customHeight="1">
      <c r="A540" s="95"/>
      <c r="B540" s="104"/>
      <c r="C540" s="97" t="str">
        <f>VLOOKUP(B540,Stock!$A$2:$B$133,2,0)</f>
        <v>#N/A</v>
      </c>
      <c r="D540" s="105"/>
      <c r="E540" s="106"/>
    </row>
    <row r="541" ht="15.75" customHeight="1">
      <c r="A541" s="95"/>
      <c r="B541" s="104"/>
      <c r="C541" s="97" t="str">
        <f>VLOOKUP(B541,Stock!$A$2:$B$133,2,0)</f>
        <v>#N/A</v>
      </c>
      <c r="D541" s="105"/>
      <c r="E541" s="106"/>
    </row>
    <row r="542" ht="15.75" customHeight="1">
      <c r="A542" s="95"/>
      <c r="B542" s="104"/>
      <c r="C542" s="97" t="str">
        <f>VLOOKUP(B542,Stock!$A$2:$B$133,2,0)</f>
        <v>#N/A</v>
      </c>
      <c r="D542" s="105"/>
      <c r="E542" s="106"/>
    </row>
    <row r="543" ht="15.75" customHeight="1">
      <c r="A543" s="95"/>
      <c r="B543" s="104"/>
      <c r="C543" s="97" t="str">
        <f>VLOOKUP(B543,Stock!$A$2:$B$133,2,0)</f>
        <v>#N/A</v>
      </c>
      <c r="D543" s="105"/>
      <c r="E543" s="106"/>
    </row>
    <row r="544" ht="15.75" customHeight="1">
      <c r="A544" s="95"/>
      <c r="B544" s="104"/>
      <c r="C544" s="97" t="str">
        <f>VLOOKUP(B544,Stock!$A$2:$B$133,2,0)</f>
        <v>#N/A</v>
      </c>
      <c r="D544" s="105"/>
      <c r="E544" s="106"/>
    </row>
    <row r="545" ht="15.75" customHeight="1">
      <c r="A545" s="95"/>
      <c r="B545" s="104"/>
      <c r="C545" s="97" t="str">
        <f>VLOOKUP(B545,Stock!$A$2:$B$133,2,0)</f>
        <v>#N/A</v>
      </c>
      <c r="D545" s="105"/>
      <c r="E545" s="106"/>
    </row>
    <row r="546" ht="15.75" customHeight="1">
      <c r="A546" s="95"/>
      <c r="B546" s="104"/>
      <c r="C546" s="97" t="str">
        <f>VLOOKUP(B546,Stock!$A$2:$B$133,2,0)</f>
        <v>#N/A</v>
      </c>
      <c r="D546" s="105"/>
      <c r="E546" s="106"/>
    </row>
    <row r="547" ht="15.75" customHeight="1">
      <c r="A547" s="95"/>
      <c r="B547" s="104"/>
      <c r="C547" s="97" t="str">
        <f>VLOOKUP(B547,Stock!$A$2:$B$133,2,0)</f>
        <v>#N/A</v>
      </c>
      <c r="D547" s="105"/>
      <c r="E547" s="106"/>
    </row>
    <row r="548" ht="15.75" customHeight="1">
      <c r="A548" s="95"/>
      <c r="B548" s="104"/>
      <c r="C548" s="97" t="str">
        <f>VLOOKUP(B548,Stock!$A$2:$B$133,2,0)</f>
        <v>#N/A</v>
      </c>
      <c r="D548" s="105"/>
      <c r="E548" s="106"/>
    </row>
    <row r="549" ht="15.75" customHeight="1">
      <c r="A549" s="95"/>
      <c r="B549" s="104"/>
      <c r="C549" s="97" t="str">
        <f>VLOOKUP(B549,Stock!$A$2:$B$133,2,0)</f>
        <v>#N/A</v>
      </c>
      <c r="D549" s="105"/>
      <c r="E549" s="106"/>
    </row>
    <row r="550" ht="15.75" customHeight="1">
      <c r="A550" s="95"/>
      <c r="B550" s="104"/>
      <c r="C550" s="97" t="str">
        <f>VLOOKUP(B550,Stock!$A$2:$B$133,2,0)</f>
        <v>#N/A</v>
      </c>
      <c r="D550" s="105"/>
      <c r="E550" s="106"/>
    </row>
    <row r="551" ht="15.75" customHeight="1">
      <c r="A551" s="95"/>
      <c r="B551" s="104"/>
      <c r="C551" s="97" t="str">
        <f>VLOOKUP(B551,Stock!$A$2:$B$133,2,0)</f>
        <v>#N/A</v>
      </c>
      <c r="D551" s="105"/>
      <c r="E551" s="106"/>
    </row>
    <row r="552" ht="15.75" customHeight="1">
      <c r="A552" s="95"/>
      <c r="B552" s="104"/>
      <c r="C552" s="97" t="str">
        <f>VLOOKUP(B552,Stock!$A$2:$B$133,2,0)</f>
        <v>#N/A</v>
      </c>
      <c r="D552" s="105"/>
      <c r="E552" s="106"/>
    </row>
    <row r="553" ht="15.75" customHeight="1">
      <c r="A553" s="95"/>
      <c r="B553" s="104"/>
      <c r="C553" s="97" t="str">
        <f>VLOOKUP(B553,Stock!$A$2:$B$133,2,0)</f>
        <v>#N/A</v>
      </c>
      <c r="D553" s="105"/>
      <c r="E553" s="106"/>
    </row>
    <row r="554" ht="15.75" customHeight="1">
      <c r="A554" s="95"/>
      <c r="B554" s="104"/>
      <c r="C554" s="97" t="str">
        <f>VLOOKUP(B554,Stock!$A$2:$B$133,2,0)</f>
        <v>#N/A</v>
      </c>
      <c r="D554" s="105"/>
      <c r="E554" s="106"/>
    </row>
    <row r="555" ht="15.75" customHeight="1">
      <c r="A555" s="95"/>
      <c r="B555" s="104"/>
      <c r="C555" s="97" t="str">
        <f>VLOOKUP(B555,Stock!$A$2:$B$133,2,0)</f>
        <v>#N/A</v>
      </c>
      <c r="D555" s="105"/>
      <c r="E555" s="106"/>
    </row>
    <row r="556" ht="15.75" customHeight="1">
      <c r="A556" s="95"/>
      <c r="B556" s="104"/>
      <c r="C556" s="97" t="str">
        <f>VLOOKUP(B556,Stock!$A$2:$B$133,2,0)</f>
        <v>#N/A</v>
      </c>
      <c r="D556" s="105"/>
      <c r="E556" s="106"/>
    </row>
    <row r="557" ht="15.75" customHeight="1">
      <c r="A557" s="95"/>
      <c r="B557" s="104"/>
      <c r="C557" s="97" t="str">
        <f>VLOOKUP(B557,Stock!$A$2:$B$133,2,0)</f>
        <v>#N/A</v>
      </c>
      <c r="D557" s="105"/>
      <c r="E557" s="106"/>
    </row>
    <row r="558" ht="15.75" customHeight="1">
      <c r="A558" s="95"/>
      <c r="B558" s="104"/>
      <c r="C558" s="97" t="str">
        <f>VLOOKUP(B558,Stock!$A$2:$B$133,2,0)</f>
        <v>#N/A</v>
      </c>
      <c r="D558" s="105"/>
      <c r="E558" s="106"/>
    </row>
    <row r="559" ht="15.75" customHeight="1">
      <c r="A559" s="95"/>
      <c r="B559" s="104"/>
      <c r="C559" s="97" t="str">
        <f>VLOOKUP(B559,Stock!$A$2:$B$133,2,0)</f>
        <v>#N/A</v>
      </c>
      <c r="D559" s="105"/>
      <c r="E559" s="106"/>
    </row>
    <row r="560" ht="15.75" customHeight="1">
      <c r="A560" s="95"/>
      <c r="B560" s="104"/>
      <c r="C560" s="97" t="str">
        <f>VLOOKUP(B560,Stock!$A$2:$B$133,2,0)</f>
        <v>#N/A</v>
      </c>
      <c r="D560" s="105"/>
      <c r="E560" s="106"/>
    </row>
    <row r="561" ht="15.75" customHeight="1">
      <c r="A561" s="95"/>
      <c r="B561" s="104"/>
      <c r="C561" s="97" t="str">
        <f>VLOOKUP(B561,Stock!$A$2:$B$133,2,0)</f>
        <v>#N/A</v>
      </c>
      <c r="D561" s="105"/>
      <c r="E561" s="106"/>
    </row>
    <row r="562" ht="15.75" customHeight="1">
      <c r="A562" s="95"/>
      <c r="B562" s="104"/>
      <c r="C562" s="97" t="str">
        <f>VLOOKUP(B562,Stock!$A$2:$B$133,2,0)</f>
        <v>#N/A</v>
      </c>
      <c r="D562" s="105"/>
      <c r="E562" s="106"/>
    </row>
    <row r="563" ht="15.75" customHeight="1">
      <c r="A563" s="95"/>
      <c r="B563" s="104"/>
      <c r="C563" s="97" t="str">
        <f>VLOOKUP(B563,Stock!$A$2:$B$133,2,0)</f>
        <v>#N/A</v>
      </c>
      <c r="D563" s="105"/>
      <c r="E563" s="106"/>
    </row>
    <row r="564" ht="15.75" customHeight="1">
      <c r="A564" s="95"/>
      <c r="B564" s="104"/>
      <c r="C564" s="97" t="str">
        <f>VLOOKUP(B564,Stock!$A$2:$B$133,2,0)</f>
        <v>#N/A</v>
      </c>
      <c r="D564" s="105"/>
      <c r="E564" s="106"/>
    </row>
    <row r="565" ht="15.75" customHeight="1">
      <c r="A565" s="95"/>
      <c r="B565" s="104"/>
      <c r="C565" s="97" t="str">
        <f>VLOOKUP(B565,Stock!$A$2:$B$133,2,0)</f>
        <v>#N/A</v>
      </c>
      <c r="D565" s="105"/>
      <c r="E565" s="106"/>
    </row>
    <row r="566" ht="15.75" customHeight="1">
      <c r="A566" s="95"/>
      <c r="B566" s="104"/>
      <c r="C566" s="97" t="str">
        <f>VLOOKUP(B566,Stock!$A$2:$B$133,2,0)</f>
        <v>#N/A</v>
      </c>
      <c r="D566" s="105"/>
      <c r="E566" s="106"/>
    </row>
    <row r="567" ht="15.75" customHeight="1">
      <c r="A567" s="95"/>
      <c r="B567" s="104"/>
      <c r="C567" s="97" t="str">
        <f>VLOOKUP(B567,Stock!$A$2:$B$133,2,0)</f>
        <v>#N/A</v>
      </c>
      <c r="D567" s="105"/>
      <c r="E567" s="106"/>
    </row>
    <row r="568" ht="15.75" customHeight="1">
      <c r="A568" s="95"/>
      <c r="B568" s="104"/>
      <c r="C568" s="97" t="str">
        <f>VLOOKUP(B568,Stock!$A$2:$B$133,2,0)</f>
        <v>#N/A</v>
      </c>
      <c r="D568" s="105"/>
      <c r="E568" s="106"/>
    </row>
    <row r="569" ht="15.75" customHeight="1">
      <c r="A569" s="95"/>
      <c r="B569" s="104"/>
      <c r="C569" s="97" t="str">
        <f>VLOOKUP(B569,Stock!$A$2:$B$133,2,0)</f>
        <v>#N/A</v>
      </c>
      <c r="D569" s="105"/>
      <c r="E569" s="106"/>
    </row>
    <row r="570" ht="15.75" customHeight="1">
      <c r="A570" s="95"/>
      <c r="B570" s="104"/>
      <c r="C570" s="97" t="str">
        <f>VLOOKUP(B570,Stock!$A$2:$B$133,2,0)</f>
        <v>#N/A</v>
      </c>
      <c r="D570" s="105"/>
      <c r="E570" s="106"/>
    </row>
    <row r="571" ht="15.75" customHeight="1">
      <c r="A571" s="95"/>
      <c r="B571" s="104"/>
      <c r="C571" s="97" t="str">
        <f>VLOOKUP(B571,Stock!$A$2:$B$133,2,0)</f>
        <v>#N/A</v>
      </c>
      <c r="D571" s="105"/>
      <c r="E571" s="106"/>
    </row>
    <row r="572" ht="15.75" customHeight="1">
      <c r="A572" s="95"/>
      <c r="B572" s="104"/>
      <c r="C572" s="97" t="str">
        <f>VLOOKUP(B572,Stock!$A$2:$B$133,2,0)</f>
        <v>#N/A</v>
      </c>
      <c r="D572" s="105"/>
      <c r="E572" s="106"/>
    </row>
    <row r="573" ht="15.75" customHeight="1">
      <c r="A573" s="95"/>
      <c r="B573" s="104"/>
      <c r="C573" s="97" t="str">
        <f>VLOOKUP(B573,Stock!$A$2:$B$133,2,0)</f>
        <v>#N/A</v>
      </c>
      <c r="D573" s="105"/>
      <c r="E573" s="106"/>
    </row>
    <row r="574" ht="15.75" customHeight="1">
      <c r="A574" s="95"/>
      <c r="B574" s="104"/>
      <c r="C574" s="97" t="str">
        <f>VLOOKUP(B574,Stock!$A$2:$B$133,2,0)</f>
        <v>#N/A</v>
      </c>
      <c r="D574" s="105"/>
      <c r="E574" s="106"/>
    </row>
    <row r="575" ht="15.75" customHeight="1">
      <c r="A575" s="95"/>
      <c r="B575" s="104"/>
      <c r="C575" s="97" t="str">
        <f>VLOOKUP(B575,Stock!$A$2:$B$133,2,0)</f>
        <v>#N/A</v>
      </c>
      <c r="D575" s="105"/>
      <c r="E575" s="106"/>
    </row>
    <row r="576" ht="15.75" customHeight="1">
      <c r="A576" s="95"/>
      <c r="B576" s="104"/>
      <c r="C576" s="97" t="str">
        <f>VLOOKUP(B576,Stock!$A$2:$B$133,2,0)</f>
        <v>#N/A</v>
      </c>
      <c r="D576" s="105"/>
      <c r="E576" s="106"/>
    </row>
    <row r="577" ht="15.75" customHeight="1">
      <c r="A577" s="95"/>
      <c r="B577" s="104"/>
      <c r="C577" s="97" t="str">
        <f>VLOOKUP(B577,Stock!$A$2:$B$133,2,0)</f>
        <v>#N/A</v>
      </c>
      <c r="D577" s="105"/>
      <c r="E577" s="106"/>
    </row>
    <row r="578" ht="15.75" customHeight="1">
      <c r="A578" s="95"/>
      <c r="B578" s="104"/>
      <c r="C578" s="97" t="str">
        <f>VLOOKUP(B578,Stock!$A$2:$B$133,2,0)</f>
        <v>#N/A</v>
      </c>
      <c r="D578" s="105"/>
      <c r="E578" s="106"/>
    </row>
    <row r="579" ht="15.75" customHeight="1">
      <c r="A579" s="95"/>
      <c r="B579" s="104"/>
      <c r="C579" s="97" t="str">
        <f>VLOOKUP(B579,Stock!$A$2:$B$133,2,0)</f>
        <v>#N/A</v>
      </c>
      <c r="D579" s="105"/>
      <c r="E579" s="106"/>
    </row>
    <row r="580" ht="15.75" customHeight="1">
      <c r="A580" s="95"/>
      <c r="B580" s="104"/>
      <c r="C580" s="97" t="str">
        <f>VLOOKUP(B580,Stock!$A$2:$B$133,2,0)</f>
        <v>#N/A</v>
      </c>
      <c r="D580" s="105"/>
      <c r="E580" s="106"/>
    </row>
    <row r="581" ht="15.75" customHeight="1">
      <c r="A581" s="95"/>
      <c r="B581" s="104"/>
      <c r="C581" s="97" t="str">
        <f>VLOOKUP(B581,Stock!$A$2:$B$133,2,0)</f>
        <v>#N/A</v>
      </c>
      <c r="D581" s="105"/>
      <c r="E581" s="106"/>
    </row>
    <row r="582" ht="15.75" customHeight="1">
      <c r="A582" s="95"/>
      <c r="B582" s="104"/>
      <c r="C582" s="97" t="str">
        <f>VLOOKUP(B582,Stock!$A$2:$B$133,2,0)</f>
        <v>#N/A</v>
      </c>
      <c r="D582" s="105"/>
      <c r="E582" s="106"/>
    </row>
    <row r="583" ht="15.75" customHeight="1">
      <c r="A583" s="95"/>
      <c r="B583" s="104"/>
      <c r="C583" s="97" t="str">
        <f>VLOOKUP(B583,Stock!$A$2:$B$133,2,0)</f>
        <v>#N/A</v>
      </c>
      <c r="D583" s="105"/>
      <c r="E583" s="106"/>
    </row>
    <row r="584" ht="15.75" customHeight="1">
      <c r="A584" s="95"/>
      <c r="B584" s="104"/>
      <c r="C584" s="97" t="str">
        <f>VLOOKUP(B584,Stock!$A$2:$B$133,2,0)</f>
        <v>#N/A</v>
      </c>
      <c r="D584" s="105"/>
      <c r="E584" s="106"/>
    </row>
    <row r="585" ht="15.75" customHeight="1">
      <c r="A585" s="95"/>
      <c r="B585" s="104"/>
      <c r="C585" s="97" t="str">
        <f>VLOOKUP(B585,Stock!$A$2:$B$133,2,0)</f>
        <v>#N/A</v>
      </c>
      <c r="D585" s="105"/>
      <c r="E585" s="106"/>
    </row>
    <row r="586" ht="15.75" customHeight="1">
      <c r="A586" s="95"/>
      <c r="B586" s="104"/>
      <c r="C586" s="97" t="str">
        <f>VLOOKUP(B586,Stock!$A$2:$B$133,2,0)</f>
        <v>#N/A</v>
      </c>
      <c r="D586" s="105"/>
      <c r="E586" s="106"/>
    </row>
    <row r="587" ht="15.75" customHeight="1">
      <c r="A587" s="95"/>
      <c r="B587" s="104"/>
      <c r="C587" s="97" t="str">
        <f>VLOOKUP(B587,Stock!$A$2:$B$133,2,0)</f>
        <v>#N/A</v>
      </c>
      <c r="D587" s="105"/>
      <c r="E587" s="106"/>
    </row>
    <row r="588" ht="15.75" customHeight="1">
      <c r="A588" s="95"/>
      <c r="B588" s="104"/>
      <c r="C588" s="97" t="str">
        <f>VLOOKUP(B588,Stock!$A$2:$B$133,2,0)</f>
        <v>#N/A</v>
      </c>
      <c r="D588" s="105"/>
      <c r="E588" s="106"/>
    </row>
    <row r="589" ht="15.75" customHeight="1">
      <c r="A589" s="95"/>
      <c r="B589" s="104"/>
      <c r="C589" s="97" t="str">
        <f>VLOOKUP(B589,Stock!$A$2:$B$133,2,0)</f>
        <v>#N/A</v>
      </c>
      <c r="D589" s="105"/>
      <c r="E589" s="106"/>
    </row>
    <row r="590" ht="15.75" customHeight="1">
      <c r="A590" s="95"/>
      <c r="B590" s="104"/>
      <c r="C590" s="97" t="str">
        <f>VLOOKUP(B590,Stock!$A$2:$B$133,2,0)</f>
        <v>#N/A</v>
      </c>
      <c r="D590" s="105"/>
      <c r="E590" s="106"/>
    </row>
    <row r="591" ht="15.75" customHeight="1">
      <c r="A591" s="95"/>
      <c r="B591" s="104"/>
      <c r="C591" s="97" t="str">
        <f>VLOOKUP(B591,Stock!$A$2:$B$133,2,0)</f>
        <v>#N/A</v>
      </c>
      <c r="D591" s="105"/>
      <c r="E591" s="106"/>
    </row>
    <row r="592" ht="15.75" customHeight="1">
      <c r="A592" s="95"/>
      <c r="B592" s="104"/>
      <c r="C592" s="97" t="str">
        <f>VLOOKUP(B592,Stock!$A$2:$B$133,2,0)</f>
        <v>#N/A</v>
      </c>
      <c r="D592" s="105"/>
      <c r="E592" s="106"/>
    </row>
    <row r="593" ht="15.75" customHeight="1">
      <c r="A593" s="95"/>
      <c r="B593" s="104"/>
      <c r="C593" s="97" t="str">
        <f>VLOOKUP(B593,Stock!$A$2:$B$133,2,0)</f>
        <v>#N/A</v>
      </c>
      <c r="D593" s="105"/>
      <c r="E593" s="106"/>
    </row>
    <row r="594" ht="15.75" customHeight="1">
      <c r="A594" s="95"/>
      <c r="B594" s="104"/>
      <c r="C594" s="97" t="str">
        <f>VLOOKUP(B594,Stock!$A$2:$B$133,2,0)</f>
        <v>#N/A</v>
      </c>
      <c r="D594" s="105"/>
      <c r="E594" s="106"/>
    </row>
    <row r="595" ht="15.75" customHeight="1">
      <c r="A595" s="95"/>
      <c r="B595" s="104"/>
      <c r="C595" s="97" t="str">
        <f>VLOOKUP(B595,Stock!$A$2:$B$133,2,0)</f>
        <v>#N/A</v>
      </c>
      <c r="D595" s="105"/>
      <c r="E595" s="106"/>
    </row>
    <row r="596" ht="15.75" customHeight="1">
      <c r="A596" s="95"/>
      <c r="B596" s="104"/>
      <c r="C596" s="97" t="str">
        <f>VLOOKUP(B596,Stock!$A$2:$B$133,2,0)</f>
        <v>#N/A</v>
      </c>
      <c r="D596" s="105"/>
      <c r="E596" s="106"/>
    </row>
    <row r="597" ht="15.75" customHeight="1">
      <c r="A597" s="95"/>
      <c r="B597" s="104"/>
      <c r="C597" s="97" t="str">
        <f>VLOOKUP(B597,Stock!$A$2:$B$133,2,0)</f>
        <v>#N/A</v>
      </c>
      <c r="D597" s="105"/>
      <c r="E597" s="106"/>
    </row>
    <row r="598" ht="15.75" customHeight="1">
      <c r="A598" s="95"/>
      <c r="B598" s="104"/>
      <c r="C598" s="97" t="str">
        <f>VLOOKUP(B598,Stock!$A$2:$B$133,2,0)</f>
        <v>#N/A</v>
      </c>
      <c r="D598" s="105"/>
      <c r="E598" s="106"/>
    </row>
    <row r="599" ht="15.75" customHeight="1">
      <c r="A599" s="95"/>
      <c r="B599" s="104"/>
      <c r="C599" s="97" t="str">
        <f>VLOOKUP(B599,Stock!$A$2:$B$133,2,0)</f>
        <v>#N/A</v>
      </c>
      <c r="D599" s="105"/>
      <c r="E599" s="106"/>
    </row>
    <row r="600" ht="15.75" customHeight="1">
      <c r="A600" s="95"/>
      <c r="B600" s="104"/>
      <c r="C600" s="97" t="str">
        <f>VLOOKUP(B600,Stock!$A$2:$B$133,2,0)</f>
        <v>#N/A</v>
      </c>
      <c r="D600" s="105"/>
      <c r="E600" s="106"/>
    </row>
    <row r="601" ht="15.75" customHeight="1">
      <c r="A601" s="95"/>
      <c r="B601" s="104"/>
      <c r="C601" s="97" t="str">
        <f>VLOOKUP(B601,Stock!$A$2:$B$133,2,0)</f>
        <v>#N/A</v>
      </c>
      <c r="D601" s="105"/>
      <c r="E601" s="106"/>
    </row>
    <row r="602" ht="15.75" customHeight="1">
      <c r="A602" s="95"/>
      <c r="B602" s="104"/>
      <c r="C602" s="97" t="str">
        <f>VLOOKUP(B602,Stock!$A$2:$B$133,2,0)</f>
        <v>#N/A</v>
      </c>
      <c r="D602" s="105"/>
      <c r="E602" s="106"/>
    </row>
    <row r="603" ht="15.75" customHeight="1">
      <c r="A603" s="95"/>
      <c r="B603" s="104"/>
      <c r="C603" s="97" t="str">
        <f>VLOOKUP(B603,Stock!$A$2:$B$133,2,0)</f>
        <v>#N/A</v>
      </c>
      <c r="D603" s="105"/>
      <c r="E603" s="106"/>
    </row>
    <row r="604" ht="15.75" customHeight="1">
      <c r="A604" s="95"/>
      <c r="B604" s="104"/>
      <c r="C604" s="97" t="str">
        <f>VLOOKUP(B604,Stock!$A$2:$B$133,2,0)</f>
        <v>#N/A</v>
      </c>
      <c r="D604" s="105"/>
      <c r="E604" s="106"/>
    </row>
    <row r="605" ht="15.75" customHeight="1">
      <c r="A605" s="95"/>
      <c r="B605" s="104"/>
      <c r="C605" s="97" t="str">
        <f>VLOOKUP(B605,Stock!$A$2:$B$133,2,0)</f>
        <v>#N/A</v>
      </c>
      <c r="D605" s="105"/>
      <c r="E605" s="106"/>
    </row>
    <row r="606" ht="15.75" customHeight="1">
      <c r="A606" s="95"/>
      <c r="B606" s="104"/>
      <c r="C606" s="97" t="str">
        <f>VLOOKUP(B606,Stock!$A$2:$B$133,2,0)</f>
        <v>#N/A</v>
      </c>
      <c r="D606" s="105"/>
      <c r="E606" s="106"/>
    </row>
    <row r="607" ht="15.75" customHeight="1">
      <c r="A607" s="95"/>
      <c r="B607" s="104"/>
      <c r="C607" s="97" t="str">
        <f>VLOOKUP(B607,Stock!$A$2:$B$133,2,0)</f>
        <v>#N/A</v>
      </c>
      <c r="D607" s="105"/>
      <c r="E607" s="106"/>
    </row>
    <row r="608" ht="15.75" customHeight="1">
      <c r="A608" s="95"/>
      <c r="B608" s="104"/>
      <c r="C608" s="97" t="str">
        <f>VLOOKUP(B608,Stock!$A$2:$B$133,2,0)</f>
        <v>#N/A</v>
      </c>
      <c r="D608" s="105"/>
      <c r="E608" s="106"/>
    </row>
    <row r="609" ht="15.75" customHeight="1">
      <c r="A609" s="95"/>
      <c r="B609" s="104"/>
      <c r="C609" s="97" t="str">
        <f>VLOOKUP(B609,Stock!$A$2:$B$133,2,0)</f>
        <v>#N/A</v>
      </c>
      <c r="D609" s="105"/>
      <c r="E609" s="106"/>
    </row>
    <row r="610" ht="15.75" customHeight="1">
      <c r="A610" s="95"/>
      <c r="B610" s="104"/>
      <c r="C610" s="97" t="str">
        <f>VLOOKUP(B610,Stock!$A$2:$B$133,2,0)</f>
        <v>#N/A</v>
      </c>
      <c r="D610" s="105"/>
      <c r="E610" s="106"/>
    </row>
    <row r="611" ht="15.75" customHeight="1">
      <c r="A611" s="95"/>
      <c r="B611" s="104"/>
      <c r="C611" s="97" t="str">
        <f>VLOOKUP(B611,Stock!$A$2:$B$133,2,0)</f>
        <v>#N/A</v>
      </c>
      <c r="D611" s="105"/>
      <c r="E611" s="106"/>
    </row>
    <row r="612" ht="15.75" customHeight="1">
      <c r="A612" s="95"/>
      <c r="B612" s="104"/>
      <c r="C612" s="97" t="str">
        <f>VLOOKUP(B612,Stock!$A$2:$B$133,2,0)</f>
        <v>#N/A</v>
      </c>
      <c r="D612" s="105"/>
      <c r="E612" s="106"/>
    </row>
    <row r="613" ht="15.75" customHeight="1">
      <c r="A613" s="95"/>
      <c r="B613" s="104"/>
      <c r="C613" s="97" t="str">
        <f>VLOOKUP(B613,Stock!$A$2:$B$133,2,0)</f>
        <v>#N/A</v>
      </c>
      <c r="D613" s="105"/>
      <c r="E613" s="106"/>
    </row>
    <row r="614" ht="15.75" customHeight="1">
      <c r="A614" s="95"/>
      <c r="B614" s="104"/>
      <c r="C614" s="97" t="str">
        <f>VLOOKUP(B614,Stock!$A$2:$B$133,2,0)</f>
        <v>#N/A</v>
      </c>
      <c r="D614" s="105"/>
      <c r="E614" s="106"/>
    </row>
    <row r="615" ht="15.75" customHeight="1">
      <c r="A615" s="95"/>
      <c r="B615" s="104"/>
      <c r="C615" s="97" t="str">
        <f>VLOOKUP(B615,Stock!$A$2:$B$133,2,0)</f>
        <v>#N/A</v>
      </c>
      <c r="D615" s="105"/>
      <c r="E615" s="106"/>
    </row>
    <row r="616" ht="15.75" customHeight="1">
      <c r="A616" s="95"/>
      <c r="B616" s="104"/>
      <c r="C616" s="97" t="str">
        <f>VLOOKUP(B616,Stock!$A$2:$B$133,2,0)</f>
        <v>#N/A</v>
      </c>
      <c r="D616" s="105"/>
      <c r="E616" s="106"/>
    </row>
    <row r="617" ht="15.75" customHeight="1">
      <c r="A617" s="95"/>
      <c r="B617" s="104"/>
      <c r="C617" s="97" t="str">
        <f>VLOOKUP(B617,Stock!$A$2:$B$133,2,0)</f>
        <v>#N/A</v>
      </c>
      <c r="D617" s="105"/>
      <c r="E617" s="106"/>
    </row>
    <row r="618" ht="15.75" customHeight="1">
      <c r="A618" s="95"/>
      <c r="B618" s="104"/>
      <c r="C618" s="97" t="str">
        <f>VLOOKUP(B618,Stock!$A$2:$B$133,2,0)</f>
        <v>#N/A</v>
      </c>
      <c r="D618" s="105"/>
      <c r="E618" s="106"/>
    </row>
    <row r="619" ht="15.75" customHeight="1">
      <c r="A619" s="95"/>
      <c r="B619" s="104"/>
      <c r="C619" s="97" t="str">
        <f>VLOOKUP(B619,Stock!$A$2:$B$133,2,0)</f>
        <v>#N/A</v>
      </c>
      <c r="D619" s="105"/>
      <c r="E619" s="106"/>
    </row>
    <row r="620" ht="15.75" customHeight="1">
      <c r="A620" s="95"/>
      <c r="B620" s="104"/>
      <c r="C620" s="97" t="str">
        <f>VLOOKUP(B620,Stock!$A$2:$B$133,2,0)</f>
        <v>#N/A</v>
      </c>
      <c r="D620" s="105"/>
      <c r="E620" s="106"/>
    </row>
    <row r="621" ht="15.75" customHeight="1">
      <c r="A621" s="95"/>
      <c r="B621" s="104"/>
      <c r="C621" s="97" t="str">
        <f>VLOOKUP(B621,Stock!$A$2:$B$133,2,0)</f>
        <v>#N/A</v>
      </c>
      <c r="D621" s="105"/>
      <c r="E621" s="106"/>
    </row>
    <row r="622" ht="15.75" customHeight="1">
      <c r="A622" s="95"/>
      <c r="B622" s="104"/>
      <c r="C622" s="97" t="str">
        <f>VLOOKUP(B622,Stock!$A$2:$B$133,2,0)</f>
        <v>#N/A</v>
      </c>
      <c r="D622" s="105"/>
      <c r="E622" s="106"/>
    </row>
    <row r="623" ht="15.75" customHeight="1">
      <c r="A623" s="95"/>
      <c r="B623" s="104"/>
      <c r="C623" s="97" t="str">
        <f>VLOOKUP(B623,Stock!$A$2:$B$133,2,0)</f>
        <v>#N/A</v>
      </c>
      <c r="D623" s="105"/>
      <c r="E623" s="106"/>
    </row>
    <row r="624" ht="15.75" customHeight="1">
      <c r="A624" s="95"/>
      <c r="B624" s="104"/>
      <c r="C624" s="97" t="str">
        <f>VLOOKUP(B624,Stock!$A$2:$B$133,2,0)</f>
        <v>#N/A</v>
      </c>
      <c r="D624" s="105"/>
      <c r="E624" s="106"/>
    </row>
    <row r="625" ht="15.75" customHeight="1">
      <c r="A625" s="95"/>
      <c r="B625" s="104"/>
      <c r="C625" s="97" t="str">
        <f>VLOOKUP(B625,Stock!$A$2:$B$133,2,0)</f>
        <v>#N/A</v>
      </c>
      <c r="D625" s="105"/>
      <c r="E625" s="106"/>
    </row>
    <row r="626" ht="15.75" customHeight="1">
      <c r="A626" s="95"/>
      <c r="B626" s="104"/>
      <c r="C626" s="97" t="str">
        <f>VLOOKUP(B626,Stock!$A$2:$B$133,2,0)</f>
        <v>#N/A</v>
      </c>
      <c r="D626" s="105"/>
      <c r="E626" s="106"/>
    </row>
    <row r="627" ht="15.75" customHeight="1">
      <c r="A627" s="95"/>
      <c r="B627" s="104"/>
      <c r="C627" s="97" t="str">
        <f>VLOOKUP(B627,Stock!$A$2:$B$133,2,0)</f>
        <v>#N/A</v>
      </c>
      <c r="D627" s="105"/>
      <c r="E627" s="106"/>
    </row>
    <row r="628" ht="15.75" customHeight="1">
      <c r="A628" s="95"/>
      <c r="B628" s="104"/>
      <c r="C628" s="97" t="str">
        <f>VLOOKUP(B628,Stock!$A$2:$B$133,2,0)</f>
        <v>#N/A</v>
      </c>
      <c r="D628" s="105"/>
      <c r="E628" s="106"/>
    </row>
    <row r="629" ht="15.75" customHeight="1">
      <c r="A629" s="95"/>
      <c r="B629" s="104"/>
      <c r="C629" s="97" t="str">
        <f>VLOOKUP(B629,Stock!$A$2:$B$133,2,0)</f>
        <v>#N/A</v>
      </c>
      <c r="D629" s="105"/>
      <c r="E629" s="106"/>
    </row>
    <row r="630" ht="15.75" customHeight="1">
      <c r="A630" s="95"/>
      <c r="B630" s="104"/>
      <c r="C630" s="97" t="str">
        <f>VLOOKUP(B630,Stock!$A$2:$B$133,2,0)</f>
        <v>#N/A</v>
      </c>
      <c r="D630" s="105"/>
      <c r="E630" s="106"/>
    </row>
    <row r="631" ht="15.75" customHeight="1">
      <c r="A631" s="95"/>
      <c r="B631" s="104"/>
      <c r="C631" s="97" t="str">
        <f>VLOOKUP(B631,Stock!$A$2:$B$133,2,0)</f>
        <v>#N/A</v>
      </c>
      <c r="D631" s="105"/>
      <c r="E631" s="106"/>
    </row>
    <row r="632" ht="15.75" customHeight="1">
      <c r="A632" s="95"/>
      <c r="B632" s="104"/>
      <c r="C632" s="97" t="str">
        <f>VLOOKUP(B632,Stock!$A$2:$B$133,2,0)</f>
        <v>#N/A</v>
      </c>
      <c r="D632" s="105"/>
      <c r="E632" s="106"/>
    </row>
    <row r="633" ht="15.75" customHeight="1">
      <c r="A633" s="95"/>
      <c r="B633" s="104"/>
      <c r="C633" s="97" t="str">
        <f>VLOOKUP(B633,Stock!$A$2:$B$133,2,0)</f>
        <v>#N/A</v>
      </c>
      <c r="D633" s="105"/>
      <c r="E633" s="106"/>
    </row>
    <row r="634" ht="15.75" customHeight="1">
      <c r="A634" s="95"/>
      <c r="B634" s="104"/>
      <c r="C634" s="97" t="str">
        <f>VLOOKUP(B634,Stock!$A$2:$B$133,2,0)</f>
        <v>#N/A</v>
      </c>
      <c r="D634" s="105"/>
      <c r="E634" s="106"/>
    </row>
    <row r="635" ht="15.75" customHeight="1">
      <c r="A635" s="95"/>
      <c r="B635" s="104"/>
      <c r="C635" s="97" t="str">
        <f>VLOOKUP(B635,Stock!$A$2:$B$133,2,0)</f>
        <v>#N/A</v>
      </c>
      <c r="D635" s="105"/>
      <c r="E635" s="106"/>
    </row>
    <row r="636" ht="15.75" customHeight="1">
      <c r="A636" s="95"/>
      <c r="B636" s="104"/>
      <c r="C636" s="97" t="str">
        <f>VLOOKUP(B636,Stock!$A$2:$B$133,2,0)</f>
        <v>#N/A</v>
      </c>
      <c r="D636" s="105"/>
      <c r="E636" s="106"/>
    </row>
    <row r="637" ht="15.75" customHeight="1">
      <c r="A637" s="95"/>
      <c r="B637" s="104"/>
      <c r="C637" s="97" t="str">
        <f>VLOOKUP(B637,Stock!$A$2:$B$133,2,0)</f>
        <v>#N/A</v>
      </c>
      <c r="D637" s="105"/>
      <c r="E637" s="106"/>
    </row>
    <row r="638" ht="15.75" customHeight="1">
      <c r="A638" s="95"/>
      <c r="B638" s="104"/>
      <c r="C638" s="97" t="str">
        <f>VLOOKUP(B638,Stock!$A$2:$B$133,2,0)</f>
        <v>#N/A</v>
      </c>
      <c r="D638" s="105"/>
      <c r="E638" s="106"/>
    </row>
    <row r="639" ht="15.75" customHeight="1">
      <c r="A639" s="95"/>
      <c r="B639" s="104"/>
      <c r="C639" s="97" t="str">
        <f>VLOOKUP(B639,Stock!$A$2:$B$133,2,0)</f>
        <v>#N/A</v>
      </c>
      <c r="D639" s="105"/>
      <c r="E639" s="106"/>
    </row>
    <row r="640" ht="15.75" customHeight="1">
      <c r="A640" s="95"/>
      <c r="B640" s="104"/>
      <c r="C640" s="97" t="str">
        <f>VLOOKUP(B640,Stock!$A$2:$B$133,2,0)</f>
        <v>#N/A</v>
      </c>
      <c r="D640" s="105"/>
      <c r="E640" s="106"/>
    </row>
    <row r="641" ht="15.75" customHeight="1">
      <c r="A641" s="95"/>
      <c r="B641" s="104"/>
      <c r="C641" s="97" t="str">
        <f>VLOOKUP(B641,Stock!$A$2:$B$133,2,0)</f>
        <v>#N/A</v>
      </c>
      <c r="D641" s="105"/>
      <c r="E641" s="106"/>
    </row>
    <row r="642" ht="15.75" customHeight="1">
      <c r="A642" s="95"/>
      <c r="B642" s="104"/>
      <c r="C642" s="97" t="str">
        <f>VLOOKUP(B642,Stock!$A$2:$B$133,2,0)</f>
        <v>#N/A</v>
      </c>
      <c r="D642" s="105"/>
      <c r="E642" s="106"/>
    </row>
    <row r="643" ht="15.75" customHeight="1">
      <c r="A643" s="95"/>
      <c r="B643" s="104"/>
      <c r="C643" s="97" t="str">
        <f>VLOOKUP(B643,Stock!$A$2:$B$133,2,0)</f>
        <v>#N/A</v>
      </c>
      <c r="D643" s="105"/>
      <c r="E643" s="106"/>
    </row>
    <row r="644" ht="15.75" customHeight="1">
      <c r="A644" s="95"/>
      <c r="B644" s="104"/>
      <c r="C644" s="97" t="str">
        <f>VLOOKUP(B644,Stock!$A$2:$B$133,2,0)</f>
        <v>#N/A</v>
      </c>
      <c r="D644" s="105"/>
      <c r="E644" s="106"/>
    </row>
    <row r="645" ht="15.75" customHeight="1">
      <c r="A645" s="95"/>
      <c r="B645" s="104"/>
      <c r="C645" s="97" t="str">
        <f>VLOOKUP(B645,Stock!$A$2:$B$133,2,0)</f>
        <v>#N/A</v>
      </c>
      <c r="D645" s="105"/>
      <c r="E645" s="106"/>
    </row>
    <row r="646" ht="15.75" customHeight="1">
      <c r="A646" s="95"/>
      <c r="B646" s="104"/>
      <c r="C646" s="97" t="str">
        <f>VLOOKUP(B646,Stock!$A$2:$B$133,2,0)</f>
        <v>#N/A</v>
      </c>
      <c r="D646" s="105"/>
      <c r="E646" s="106"/>
    </row>
    <row r="647" ht="15.75" customHeight="1">
      <c r="A647" s="95"/>
      <c r="B647" s="104"/>
      <c r="C647" s="97" t="str">
        <f>VLOOKUP(B647,Stock!$A$2:$B$133,2,0)</f>
        <v>#N/A</v>
      </c>
      <c r="D647" s="105"/>
      <c r="E647" s="106"/>
    </row>
    <row r="648" ht="15.75" customHeight="1">
      <c r="A648" s="95"/>
      <c r="B648" s="104"/>
      <c r="C648" s="97" t="str">
        <f>VLOOKUP(B648,Stock!$A$2:$B$133,2,0)</f>
        <v>#N/A</v>
      </c>
      <c r="D648" s="105"/>
      <c r="E648" s="106"/>
    </row>
    <row r="649" ht="15.75" customHeight="1">
      <c r="A649" s="95"/>
      <c r="B649" s="104"/>
      <c r="C649" s="97" t="str">
        <f>VLOOKUP(B649,Stock!$A$2:$B$133,2,0)</f>
        <v>#N/A</v>
      </c>
      <c r="D649" s="105"/>
      <c r="E649" s="106"/>
    </row>
    <row r="650" ht="15.75" customHeight="1">
      <c r="A650" s="95"/>
      <c r="B650" s="104"/>
      <c r="C650" s="97" t="str">
        <f>VLOOKUP(B650,Stock!$A$2:$B$133,2,0)</f>
        <v>#N/A</v>
      </c>
      <c r="D650" s="105"/>
      <c r="E650" s="106"/>
    </row>
    <row r="651" ht="15.75" customHeight="1">
      <c r="A651" s="95"/>
      <c r="B651" s="104"/>
      <c r="C651" s="97" t="str">
        <f>VLOOKUP(B651,Stock!$A$2:$B$133,2,0)</f>
        <v>#N/A</v>
      </c>
      <c r="D651" s="105"/>
      <c r="E651" s="106"/>
    </row>
    <row r="652" ht="15.75" customHeight="1">
      <c r="A652" s="95"/>
      <c r="B652" s="104"/>
      <c r="C652" s="97" t="str">
        <f>VLOOKUP(B652,Stock!$A$2:$B$133,2,0)</f>
        <v>#N/A</v>
      </c>
      <c r="D652" s="105"/>
      <c r="E652" s="106"/>
    </row>
    <row r="653" ht="15.75" customHeight="1">
      <c r="A653" s="95"/>
      <c r="B653" s="104"/>
      <c r="C653" s="97" t="str">
        <f>VLOOKUP(B653,Stock!$A$2:$B$133,2,0)</f>
        <v>#N/A</v>
      </c>
      <c r="D653" s="105"/>
      <c r="E653" s="106"/>
    </row>
    <row r="654" ht="15.75" customHeight="1">
      <c r="A654" s="95"/>
      <c r="B654" s="104"/>
      <c r="C654" s="97" t="str">
        <f>VLOOKUP(B654,Stock!$A$2:$B$133,2,0)</f>
        <v>#N/A</v>
      </c>
      <c r="D654" s="105"/>
      <c r="E654" s="106"/>
    </row>
    <row r="655" ht="15.75" customHeight="1">
      <c r="A655" s="95"/>
      <c r="B655" s="104"/>
      <c r="C655" s="97" t="str">
        <f>VLOOKUP(B655,Stock!$A$2:$B$133,2,0)</f>
        <v>#N/A</v>
      </c>
      <c r="D655" s="105"/>
      <c r="E655" s="106"/>
    </row>
    <row r="656" ht="15.75" customHeight="1">
      <c r="A656" s="95"/>
      <c r="B656" s="104"/>
      <c r="C656" s="97" t="str">
        <f>VLOOKUP(B656,Stock!$A$2:$B$133,2,0)</f>
        <v>#N/A</v>
      </c>
      <c r="D656" s="105"/>
      <c r="E656" s="106"/>
    </row>
    <row r="657" ht="15.75" customHeight="1">
      <c r="A657" s="95"/>
      <c r="B657" s="104"/>
      <c r="C657" s="97" t="str">
        <f>VLOOKUP(B657,Stock!$A$2:$B$133,2,0)</f>
        <v>#N/A</v>
      </c>
      <c r="D657" s="105"/>
      <c r="E657" s="106"/>
    </row>
    <row r="658" ht="15.75" customHeight="1">
      <c r="A658" s="95"/>
      <c r="B658" s="104"/>
      <c r="C658" s="97" t="str">
        <f>VLOOKUP(B658,Stock!$A$2:$B$133,2,0)</f>
        <v>#N/A</v>
      </c>
      <c r="D658" s="105"/>
      <c r="E658" s="106"/>
    </row>
    <row r="659" ht="15.75" customHeight="1">
      <c r="A659" s="95"/>
      <c r="B659" s="104"/>
      <c r="C659" s="97" t="str">
        <f>VLOOKUP(B659,Stock!$A$2:$B$133,2,0)</f>
        <v>#N/A</v>
      </c>
      <c r="D659" s="105"/>
      <c r="E659" s="106"/>
    </row>
    <row r="660" ht="15.75" customHeight="1">
      <c r="A660" s="95"/>
      <c r="B660" s="104"/>
      <c r="C660" s="97" t="str">
        <f>VLOOKUP(B660,Stock!$A$2:$B$133,2,0)</f>
        <v>#N/A</v>
      </c>
      <c r="D660" s="105"/>
      <c r="E660" s="106"/>
    </row>
    <row r="661" ht="15.75" customHeight="1">
      <c r="A661" s="95"/>
      <c r="B661" s="104"/>
      <c r="C661" s="97" t="str">
        <f>VLOOKUP(B661,Stock!$A$2:$B$133,2,0)</f>
        <v>#N/A</v>
      </c>
      <c r="D661" s="105"/>
      <c r="E661" s="106"/>
    </row>
    <row r="662" ht="15.75" customHeight="1">
      <c r="A662" s="95"/>
      <c r="B662" s="104"/>
      <c r="C662" s="97" t="str">
        <f>VLOOKUP(B662,Stock!$A$2:$B$133,2,0)</f>
        <v>#N/A</v>
      </c>
      <c r="D662" s="105"/>
      <c r="E662" s="106"/>
    </row>
    <row r="663" ht="15.75" customHeight="1">
      <c r="A663" s="95"/>
      <c r="B663" s="104"/>
      <c r="C663" s="97" t="str">
        <f>VLOOKUP(B663,Stock!$A$2:$B$133,2,0)</f>
        <v>#N/A</v>
      </c>
      <c r="D663" s="105"/>
      <c r="E663" s="106"/>
    </row>
    <row r="664" ht="15.75" customHeight="1">
      <c r="A664" s="95"/>
      <c r="B664" s="104"/>
      <c r="C664" s="97" t="str">
        <f>VLOOKUP(B664,Stock!$A$2:$B$133,2,0)</f>
        <v>#N/A</v>
      </c>
      <c r="D664" s="105"/>
      <c r="E664" s="106"/>
    </row>
    <row r="665" ht="15.75" customHeight="1">
      <c r="A665" s="95"/>
      <c r="B665" s="104"/>
      <c r="C665" s="97" t="str">
        <f>VLOOKUP(B665,Stock!$A$2:$B$133,2,0)</f>
        <v>#N/A</v>
      </c>
      <c r="D665" s="105"/>
      <c r="E665" s="106"/>
    </row>
    <row r="666" ht="15.75" customHeight="1">
      <c r="A666" s="95"/>
      <c r="B666" s="104"/>
      <c r="C666" s="97" t="str">
        <f>VLOOKUP(B666,Stock!$A$2:$B$133,2,0)</f>
        <v>#N/A</v>
      </c>
      <c r="D666" s="105"/>
      <c r="E666" s="106"/>
    </row>
    <row r="667" ht="15.75" customHeight="1">
      <c r="A667" s="95"/>
      <c r="B667" s="104"/>
      <c r="C667" s="97" t="str">
        <f>VLOOKUP(B667,Stock!$A$2:$B$133,2,0)</f>
        <v>#N/A</v>
      </c>
      <c r="D667" s="105"/>
      <c r="E667" s="106"/>
    </row>
    <row r="668" ht="15.75" customHeight="1">
      <c r="A668" s="95"/>
      <c r="B668" s="104"/>
      <c r="C668" s="97" t="str">
        <f>VLOOKUP(B668,Stock!$A$2:$B$133,2,0)</f>
        <v>#N/A</v>
      </c>
      <c r="D668" s="105"/>
      <c r="E668" s="106"/>
    </row>
    <row r="669" ht="15.75" customHeight="1">
      <c r="A669" s="95"/>
      <c r="B669" s="104"/>
      <c r="C669" s="97" t="str">
        <f>VLOOKUP(B669,Stock!$A$2:$B$133,2,0)</f>
        <v>#N/A</v>
      </c>
      <c r="D669" s="105"/>
      <c r="E669" s="106"/>
    </row>
    <row r="670" ht="15.75" customHeight="1">
      <c r="A670" s="95"/>
      <c r="B670" s="104"/>
      <c r="C670" s="97" t="str">
        <f>VLOOKUP(B670,Stock!$A$2:$B$133,2,0)</f>
        <v>#N/A</v>
      </c>
      <c r="D670" s="105"/>
      <c r="E670" s="106"/>
    </row>
    <row r="671" ht="15.75" customHeight="1">
      <c r="A671" s="95"/>
      <c r="B671" s="104"/>
      <c r="C671" s="97" t="str">
        <f>VLOOKUP(B671,Stock!$A$2:$B$133,2,0)</f>
        <v>#N/A</v>
      </c>
      <c r="D671" s="105"/>
      <c r="E671" s="106"/>
    </row>
    <row r="672" ht="15.75" customHeight="1">
      <c r="A672" s="95"/>
      <c r="B672" s="104"/>
      <c r="C672" s="97" t="str">
        <f>VLOOKUP(B672,Stock!$A$2:$B$133,2,0)</f>
        <v>#N/A</v>
      </c>
      <c r="D672" s="105"/>
      <c r="E672" s="106"/>
    </row>
    <row r="673" ht="15.75" customHeight="1">
      <c r="A673" s="95"/>
      <c r="B673" s="104"/>
      <c r="C673" s="97" t="str">
        <f>VLOOKUP(B673,Stock!$A$2:$B$133,2,0)</f>
        <v>#N/A</v>
      </c>
      <c r="D673" s="105"/>
      <c r="E673" s="106"/>
    </row>
    <row r="674" ht="15.75" customHeight="1">
      <c r="A674" s="95"/>
      <c r="B674" s="104"/>
      <c r="C674" s="97" t="str">
        <f>VLOOKUP(B674,Stock!$A$2:$B$133,2,0)</f>
        <v>#N/A</v>
      </c>
      <c r="D674" s="105"/>
      <c r="E674" s="106"/>
    </row>
    <row r="675" ht="15.75" customHeight="1">
      <c r="A675" s="95"/>
      <c r="B675" s="104"/>
      <c r="C675" s="97" t="str">
        <f>VLOOKUP(B675,Stock!$A$2:$B$133,2,0)</f>
        <v>#N/A</v>
      </c>
      <c r="D675" s="105"/>
      <c r="E675" s="106"/>
    </row>
    <row r="676" ht="15.75" customHeight="1">
      <c r="A676" s="95"/>
      <c r="B676" s="104"/>
      <c r="C676" s="97" t="str">
        <f>VLOOKUP(B676,Stock!$A$2:$B$133,2,0)</f>
        <v>#N/A</v>
      </c>
      <c r="D676" s="105"/>
      <c r="E676" s="106"/>
    </row>
    <row r="677" ht="15.75" customHeight="1">
      <c r="A677" s="95"/>
      <c r="B677" s="104"/>
      <c r="C677" s="97" t="str">
        <f>VLOOKUP(B677,Stock!$A$2:$B$133,2,0)</f>
        <v>#N/A</v>
      </c>
      <c r="D677" s="105"/>
      <c r="E677" s="106"/>
    </row>
    <row r="678" ht="15.75" customHeight="1">
      <c r="A678" s="95"/>
      <c r="B678" s="104"/>
      <c r="C678" s="97" t="str">
        <f>VLOOKUP(B678,Stock!$A$2:$B$133,2,0)</f>
        <v>#N/A</v>
      </c>
      <c r="D678" s="105"/>
      <c r="E678" s="106"/>
    </row>
    <row r="679" ht="15.75" customHeight="1">
      <c r="A679" s="95"/>
      <c r="B679" s="104"/>
      <c r="C679" s="97" t="str">
        <f>VLOOKUP(B679,Stock!$A$2:$B$133,2,0)</f>
        <v>#N/A</v>
      </c>
      <c r="D679" s="105"/>
      <c r="E679" s="106"/>
    </row>
    <row r="680" ht="15.75" customHeight="1">
      <c r="A680" s="95"/>
      <c r="B680" s="104"/>
      <c r="C680" s="97" t="str">
        <f>VLOOKUP(B680,Stock!$A$2:$B$133,2,0)</f>
        <v>#N/A</v>
      </c>
      <c r="D680" s="105"/>
      <c r="E680" s="106"/>
    </row>
    <row r="681" ht="15.75" customHeight="1">
      <c r="A681" s="95"/>
      <c r="B681" s="104"/>
      <c r="C681" s="97" t="str">
        <f>VLOOKUP(B681,Stock!$A$2:$B$133,2,0)</f>
        <v>#N/A</v>
      </c>
      <c r="D681" s="105"/>
      <c r="E681" s="106"/>
    </row>
    <row r="682" ht="15.75" customHeight="1">
      <c r="A682" s="95"/>
      <c r="B682" s="104"/>
      <c r="C682" s="97" t="str">
        <f>VLOOKUP(B682,Stock!$A$2:$B$133,2,0)</f>
        <v>#N/A</v>
      </c>
      <c r="D682" s="105"/>
      <c r="E682" s="106"/>
    </row>
    <row r="683" ht="15.75" customHeight="1">
      <c r="A683" s="95"/>
      <c r="B683" s="104"/>
      <c r="C683" s="97" t="str">
        <f>VLOOKUP(B683,Stock!$A$2:$B$133,2,0)</f>
        <v>#N/A</v>
      </c>
      <c r="D683" s="105"/>
      <c r="E683" s="106"/>
    </row>
    <row r="684" ht="15.75" customHeight="1">
      <c r="A684" s="95"/>
      <c r="B684" s="104"/>
      <c r="C684" s="97" t="str">
        <f>VLOOKUP(B684,Stock!$A$2:$B$133,2,0)</f>
        <v>#N/A</v>
      </c>
      <c r="D684" s="105"/>
      <c r="E684" s="106"/>
    </row>
    <row r="685" ht="15.75" customHeight="1">
      <c r="A685" s="95"/>
      <c r="B685" s="104"/>
      <c r="C685" s="97" t="str">
        <f>VLOOKUP(B685,Stock!$A$2:$B$133,2,0)</f>
        <v>#N/A</v>
      </c>
      <c r="D685" s="105"/>
      <c r="E685" s="106"/>
    </row>
    <row r="686" ht="15.75" customHeight="1">
      <c r="A686" s="95"/>
      <c r="B686" s="104"/>
      <c r="C686" s="97" t="str">
        <f>VLOOKUP(B686,Stock!$A$2:$B$133,2,0)</f>
        <v>#N/A</v>
      </c>
      <c r="D686" s="105"/>
      <c r="E686" s="106"/>
    </row>
    <row r="687" ht="15.75" customHeight="1">
      <c r="A687" s="95"/>
      <c r="B687" s="104"/>
      <c r="C687" s="97" t="str">
        <f>VLOOKUP(B687,Stock!$A$2:$B$133,2,0)</f>
        <v>#N/A</v>
      </c>
      <c r="D687" s="105"/>
      <c r="E687" s="106"/>
    </row>
    <row r="688" ht="15.75" customHeight="1">
      <c r="A688" s="95"/>
      <c r="B688" s="104"/>
      <c r="C688" s="97" t="str">
        <f>VLOOKUP(B688,Stock!$A$2:$B$133,2,0)</f>
        <v>#N/A</v>
      </c>
      <c r="D688" s="105"/>
      <c r="E688" s="106"/>
    </row>
    <row r="689" ht="15.75" customHeight="1">
      <c r="A689" s="95"/>
      <c r="B689" s="104"/>
      <c r="C689" s="97" t="str">
        <f>VLOOKUP(B689,Stock!$A$2:$B$133,2,0)</f>
        <v>#N/A</v>
      </c>
      <c r="D689" s="105"/>
      <c r="E689" s="106"/>
    </row>
    <row r="690" ht="15.75" customHeight="1">
      <c r="A690" s="95"/>
      <c r="B690" s="104"/>
      <c r="C690" s="97" t="str">
        <f>VLOOKUP(B690,Stock!$A$2:$B$133,2,0)</f>
        <v>#N/A</v>
      </c>
      <c r="D690" s="105"/>
      <c r="E690" s="106"/>
    </row>
    <row r="691" ht="15.75" customHeight="1">
      <c r="A691" s="95"/>
      <c r="B691" s="104"/>
      <c r="C691" s="97" t="str">
        <f>VLOOKUP(B691,Stock!$A$2:$B$133,2,0)</f>
        <v>#N/A</v>
      </c>
      <c r="D691" s="105"/>
      <c r="E691" s="106"/>
    </row>
    <row r="692" ht="15.75" customHeight="1">
      <c r="A692" s="95"/>
      <c r="B692" s="104"/>
      <c r="C692" s="97" t="str">
        <f>VLOOKUP(B692,Stock!$A$2:$B$133,2,0)</f>
        <v>#N/A</v>
      </c>
      <c r="D692" s="105"/>
      <c r="E692" s="106"/>
    </row>
    <row r="693" ht="15.75" customHeight="1">
      <c r="A693" s="95"/>
      <c r="B693" s="104"/>
      <c r="C693" s="97" t="str">
        <f>VLOOKUP(B693,Stock!$A$2:$B$133,2,0)</f>
        <v>#N/A</v>
      </c>
      <c r="D693" s="105"/>
      <c r="E693" s="106"/>
    </row>
    <row r="694" ht="15.75" customHeight="1">
      <c r="A694" s="95"/>
      <c r="B694" s="104"/>
      <c r="C694" s="97" t="str">
        <f>VLOOKUP(B694,Stock!$A$2:$B$133,2,0)</f>
        <v>#N/A</v>
      </c>
      <c r="D694" s="105"/>
      <c r="E694" s="106"/>
    </row>
    <row r="695" ht="15.75" customHeight="1">
      <c r="A695" s="95"/>
      <c r="B695" s="104"/>
      <c r="C695" s="97" t="str">
        <f>VLOOKUP(B695,Stock!$A$2:$B$133,2,0)</f>
        <v>#N/A</v>
      </c>
      <c r="D695" s="105"/>
      <c r="E695" s="106"/>
    </row>
    <row r="696" ht="15.75" customHeight="1">
      <c r="A696" s="95"/>
      <c r="B696" s="104"/>
      <c r="C696" s="97" t="str">
        <f>VLOOKUP(B696,Stock!$A$2:$B$133,2,0)</f>
        <v>#N/A</v>
      </c>
      <c r="D696" s="105"/>
      <c r="E696" s="106"/>
    </row>
    <row r="697" ht="15.75" customHeight="1">
      <c r="A697" s="95"/>
      <c r="B697" s="104"/>
      <c r="C697" s="97" t="str">
        <f>VLOOKUP(B697,Stock!$A$2:$B$133,2,0)</f>
        <v>#N/A</v>
      </c>
      <c r="D697" s="105"/>
      <c r="E697" s="106"/>
    </row>
    <row r="698" ht="15.75" customHeight="1">
      <c r="A698" s="95"/>
      <c r="B698" s="104"/>
      <c r="C698" s="97" t="str">
        <f>VLOOKUP(B698,Stock!$A$2:$B$133,2,0)</f>
        <v>#N/A</v>
      </c>
      <c r="D698" s="105"/>
      <c r="E698" s="106"/>
    </row>
    <row r="699" ht="15.75" customHeight="1">
      <c r="A699" s="95"/>
      <c r="B699" s="104"/>
      <c r="C699" s="97" t="str">
        <f>VLOOKUP(B699,Stock!$A$2:$B$133,2,0)</f>
        <v>#N/A</v>
      </c>
      <c r="D699" s="105"/>
      <c r="E699" s="106"/>
    </row>
    <row r="700" ht="15.75" customHeight="1">
      <c r="A700" s="95"/>
      <c r="B700" s="104"/>
      <c r="C700" s="97" t="str">
        <f>VLOOKUP(B700,Stock!$A$2:$B$133,2,0)</f>
        <v>#N/A</v>
      </c>
      <c r="D700" s="105"/>
      <c r="E700" s="106"/>
    </row>
    <row r="701" ht="15.75" customHeight="1">
      <c r="A701" s="95"/>
      <c r="B701" s="104"/>
      <c r="C701" s="97" t="str">
        <f>VLOOKUP(B701,Stock!$A$2:$B$133,2,0)</f>
        <v>#N/A</v>
      </c>
      <c r="D701" s="105"/>
      <c r="E701" s="106"/>
    </row>
    <row r="702" ht="15.75" customHeight="1">
      <c r="A702" s="95"/>
      <c r="B702" s="104"/>
      <c r="C702" s="97" t="str">
        <f>VLOOKUP(B702,Stock!$A$2:$B$133,2,0)</f>
        <v>#N/A</v>
      </c>
      <c r="D702" s="105"/>
      <c r="E702" s="106"/>
    </row>
    <row r="703" ht="15.75" customHeight="1">
      <c r="A703" s="95"/>
      <c r="B703" s="104"/>
      <c r="C703" s="97" t="str">
        <f>VLOOKUP(B703,Stock!$A$2:$B$133,2,0)</f>
        <v>#N/A</v>
      </c>
      <c r="D703" s="105"/>
      <c r="E703" s="106"/>
    </row>
    <row r="704" ht="15.75" customHeight="1">
      <c r="A704" s="95"/>
      <c r="B704" s="104"/>
      <c r="C704" s="97" t="str">
        <f>VLOOKUP(B704,Stock!$A$2:$B$133,2,0)</f>
        <v>#N/A</v>
      </c>
      <c r="D704" s="105"/>
      <c r="E704" s="106"/>
    </row>
    <row r="705" ht="15.75" customHeight="1">
      <c r="A705" s="95"/>
      <c r="B705" s="104"/>
      <c r="C705" s="97" t="str">
        <f>VLOOKUP(B705,Stock!$A$2:$B$133,2,0)</f>
        <v>#N/A</v>
      </c>
      <c r="D705" s="105"/>
      <c r="E705" s="106"/>
    </row>
    <row r="706" ht="15.75" customHeight="1">
      <c r="A706" s="95"/>
      <c r="B706" s="104"/>
      <c r="C706" s="97" t="str">
        <f>VLOOKUP(B706,Stock!$A$2:$B$133,2,0)</f>
        <v>#N/A</v>
      </c>
      <c r="D706" s="105"/>
      <c r="E706" s="106"/>
    </row>
    <row r="707" ht="15.75" customHeight="1">
      <c r="A707" s="95"/>
      <c r="B707" s="104"/>
      <c r="C707" s="97" t="str">
        <f>VLOOKUP(B707,Stock!$A$2:$B$133,2,0)</f>
        <v>#N/A</v>
      </c>
      <c r="D707" s="105"/>
      <c r="E707" s="106"/>
    </row>
    <row r="708" ht="15.75" customHeight="1">
      <c r="A708" s="95"/>
      <c r="B708" s="104"/>
      <c r="C708" s="97" t="str">
        <f>VLOOKUP(B708,Stock!$A$2:$B$133,2,0)</f>
        <v>#N/A</v>
      </c>
      <c r="D708" s="105"/>
      <c r="E708" s="106"/>
    </row>
    <row r="709" ht="15.75" customHeight="1">
      <c r="A709" s="95"/>
      <c r="B709" s="104"/>
      <c r="C709" s="97" t="str">
        <f>VLOOKUP(B709,Stock!$A$2:$B$133,2,0)</f>
        <v>#N/A</v>
      </c>
      <c r="D709" s="105"/>
      <c r="E709" s="106"/>
    </row>
    <row r="710" ht="15.75" customHeight="1">
      <c r="A710" s="95"/>
      <c r="B710" s="104"/>
      <c r="C710" s="97" t="str">
        <f>VLOOKUP(B710,Stock!$A$2:$B$133,2,0)</f>
        <v>#N/A</v>
      </c>
      <c r="D710" s="105"/>
      <c r="E710" s="106"/>
    </row>
    <row r="711" ht="15.75" customHeight="1">
      <c r="A711" s="95"/>
      <c r="B711" s="104"/>
      <c r="C711" s="97" t="str">
        <f>VLOOKUP(B711,Stock!$A$2:$B$133,2,0)</f>
        <v>#N/A</v>
      </c>
      <c r="D711" s="105"/>
      <c r="E711" s="106"/>
    </row>
    <row r="712" ht="15.75" customHeight="1">
      <c r="A712" s="95"/>
      <c r="B712" s="104"/>
      <c r="C712" s="97" t="str">
        <f>VLOOKUP(B712,Stock!$A$2:$B$133,2,0)</f>
        <v>#N/A</v>
      </c>
      <c r="D712" s="105"/>
      <c r="E712" s="106"/>
    </row>
    <row r="713" ht="15.75" customHeight="1">
      <c r="A713" s="95"/>
      <c r="B713" s="104"/>
      <c r="C713" s="97" t="str">
        <f>VLOOKUP(B713,Stock!$A$2:$B$133,2,0)</f>
        <v>#N/A</v>
      </c>
      <c r="D713" s="105"/>
      <c r="E713" s="106"/>
    </row>
    <row r="714" ht="15.75" customHeight="1">
      <c r="A714" s="95"/>
      <c r="B714" s="104"/>
      <c r="C714" s="97" t="str">
        <f>VLOOKUP(B714,Stock!$A$2:$B$133,2,0)</f>
        <v>#N/A</v>
      </c>
      <c r="D714" s="105"/>
      <c r="E714" s="106"/>
    </row>
    <row r="715" ht="15.75" customHeight="1">
      <c r="A715" s="95"/>
      <c r="B715" s="104"/>
      <c r="C715" s="97" t="str">
        <f>VLOOKUP(B715,Stock!$A$2:$B$133,2,0)</f>
        <v>#N/A</v>
      </c>
      <c r="D715" s="105"/>
      <c r="E715" s="106"/>
    </row>
    <row r="716" ht="15.75" customHeight="1">
      <c r="A716" s="95"/>
      <c r="B716" s="104"/>
      <c r="C716" s="97" t="str">
        <f>VLOOKUP(B716,Stock!$A$2:$B$133,2,0)</f>
        <v>#N/A</v>
      </c>
      <c r="D716" s="105"/>
      <c r="E716" s="106"/>
    </row>
    <row r="717" ht="15.75" customHeight="1">
      <c r="A717" s="95"/>
      <c r="B717" s="104"/>
      <c r="C717" s="97" t="str">
        <f>VLOOKUP(B717,Stock!$A$2:$B$133,2,0)</f>
        <v>#N/A</v>
      </c>
      <c r="D717" s="105"/>
      <c r="E717" s="106"/>
    </row>
    <row r="718" ht="15.75" customHeight="1">
      <c r="A718" s="95"/>
      <c r="B718" s="104"/>
      <c r="C718" s="97" t="str">
        <f>VLOOKUP(B718,Stock!$A$2:$B$133,2,0)</f>
        <v>#N/A</v>
      </c>
      <c r="D718" s="105"/>
      <c r="E718" s="106"/>
    </row>
    <row r="719" ht="15.75" customHeight="1">
      <c r="A719" s="95"/>
      <c r="B719" s="104"/>
      <c r="C719" s="97" t="str">
        <f>VLOOKUP(B719,Stock!$A$2:$B$133,2,0)</f>
        <v>#N/A</v>
      </c>
      <c r="D719" s="105"/>
      <c r="E719" s="106"/>
    </row>
    <row r="720" ht="15.75" customHeight="1">
      <c r="A720" s="95"/>
      <c r="B720" s="104"/>
      <c r="C720" s="97" t="str">
        <f>VLOOKUP(B720,Stock!$A$2:$B$133,2,0)</f>
        <v>#N/A</v>
      </c>
      <c r="D720" s="105"/>
      <c r="E720" s="106"/>
    </row>
    <row r="721" ht="15.75" customHeight="1">
      <c r="A721" s="95"/>
      <c r="B721" s="104"/>
      <c r="C721" s="97" t="str">
        <f>VLOOKUP(B721,Stock!$A$2:$B$133,2,0)</f>
        <v>#N/A</v>
      </c>
      <c r="D721" s="105"/>
      <c r="E721" s="106"/>
    </row>
    <row r="722" ht="15.75" customHeight="1">
      <c r="A722" s="95"/>
      <c r="B722" s="104"/>
      <c r="C722" s="97" t="str">
        <f>VLOOKUP(B722,Stock!$A$2:$B$133,2,0)</f>
        <v>#N/A</v>
      </c>
      <c r="D722" s="105"/>
      <c r="E722" s="106"/>
    </row>
    <row r="723" ht="15.75" customHeight="1">
      <c r="A723" s="95"/>
      <c r="B723" s="104"/>
      <c r="C723" s="97" t="str">
        <f>VLOOKUP(B723,Stock!$A$2:$B$133,2,0)</f>
        <v>#N/A</v>
      </c>
      <c r="D723" s="105"/>
      <c r="E723" s="106"/>
    </row>
    <row r="724" ht="15.75" customHeight="1">
      <c r="A724" s="95"/>
      <c r="B724" s="104"/>
      <c r="C724" s="97" t="str">
        <f>VLOOKUP(B724,Stock!$A$2:$B$133,2,0)</f>
        <v>#N/A</v>
      </c>
      <c r="D724" s="105"/>
      <c r="E724" s="106"/>
    </row>
    <row r="725" ht="15.75" customHeight="1">
      <c r="A725" s="95"/>
      <c r="B725" s="104"/>
      <c r="C725" s="97" t="str">
        <f>VLOOKUP(B725,Stock!$A$2:$B$133,2,0)</f>
        <v>#N/A</v>
      </c>
      <c r="D725" s="105"/>
      <c r="E725" s="106"/>
    </row>
    <row r="726" ht="15.75" customHeight="1">
      <c r="A726" s="95"/>
      <c r="B726" s="104"/>
      <c r="C726" s="97" t="str">
        <f>VLOOKUP(B726,Stock!$A$2:$B$133,2,0)</f>
        <v>#N/A</v>
      </c>
      <c r="D726" s="105"/>
      <c r="E726" s="106"/>
    </row>
    <row r="727" ht="15.75" customHeight="1">
      <c r="A727" s="95"/>
      <c r="B727" s="104"/>
      <c r="C727" s="97" t="str">
        <f>VLOOKUP(B727,Stock!$A$2:$B$133,2,0)</f>
        <v>#N/A</v>
      </c>
      <c r="D727" s="105"/>
      <c r="E727" s="106"/>
    </row>
    <row r="728" ht="15.75" customHeight="1">
      <c r="A728" s="95"/>
      <c r="B728" s="104"/>
      <c r="C728" s="97" t="str">
        <f>VLOOKUP(B728,Stock!$A$2:$B$133,2,0)</f>
        <v>#N/A</v>
      </c>
      <c r="D728" s="105"/>
      <c r="E728" s="106"/>
    </row>
    <row r="729" ht="15.75" customHeight="1">
      <c r="A729" s="95"/>
      <c r="B729" s="104"/>
      <c r="C729" s="97" t="str">
        <f>VLOOKUP(B729,Stock!$A$2:$B$133,2,0)</f>
        <v>#N/A</v>
      </c>
      <c r="D729" s="105"/>
      <c r="E729" s="106"/>
    </row>
    <row r="730" ht="15.75" customHeight="1">
      <c r="A730" s="95"/>
      <c r="B730" s="104"/>
      <c r="C730" s="97" t="str">
        <f>VLOOKUP(B730,Stock!$A$2:$B$133,2,0)</f>
        <v>#N/A</v>
      </c>
      <c r="D730" s="105"/>
      <c r="E730" s="106"/>
    </row>
    <row r="731" ht="15.75" customHeight="1">
      <c r="A731" s="95"/>
      <c r="B731" s="104"/>
      <c r="C731" s="97" t="str">
        <f>VLOOKUP(B731,Stock!$A$2:$B$133,2,0)</f>
        <v>#N/A</v>
      </c>
      <c r="D731" s="105"/>
      <c r="E731" s="106"/>
    </row>
    <row r="732" ht="15.75" customHeight="1">
      <c r="A732" s="95"/>
      <c r="B732" s="104"/>
      <c r="C732" s="97" t="str">
        <f>VLOOKUP(B732,Stock!$A$2:$B$133,2,0)</f>
        <v>#N/A</v>
      </c>
      <c r="D732" s="105"/>
      <c r="E732" s="106"/>
    </row>
    <row r="733" ht="15.75" customHeight="1">
      <c r="A733" s="95"/>
      <c r="B733" s="104"/>
      <c r="C733" s="97" t="str">
        <f>VLOOKUP(B733,Stock!$A$2:$B$133,2,0)</f>
        <v>#N/A</v>
      </c>
      <c r="D733" s="105"/>
      <c r="E733" s="106"/>
    </row>
    <row r="734" ht="15.75" customHeight="1">
      <c r="A734" s="95"/>
      <c r="B734" s="104"/>
      <c r="C734" s="97" t="str">
        <f>VLOOKUP(B734,Stock!$A$2:$B$133,2,0)</f>
        <v>#N/A</v>
      </c>
      <c r="D734" s="105"/>
      <c r="E734" s="106"/>
    </row>
    <row r="735" ht="15.75" customHeight="1">
      <c r="A735" s="95"/>
      <c r="B735" s="104"/>
      <c r="C735" s="97" t="str">
        <f>VLOOKUP(B735,Stock!$A$2:$B$133,2,0)</f>
        <v>#N/A</v>
      </c>
      <c r="D735" s="105"/>
      <c r="E735" s="106"/>
    </row>
    <row r="736" ht="15.75" customHeight="1">
      <c r="A736" s="95"/>
      <c r="B736" s="104"/>
      <c r="C736" s="97" t="str">
        <f>VLOOKUP(B736,Stock!$A$2:$B$133,2,0)</f>
        <v>#N/A</v>
      </c>
      <c r="D736" s="105"/>
      <c r="E736" s="106"/>
    </row>
    <row r="737" ht="15.75" customHeight="1">
      <c r="A737" s="95"/>
      <c r="B737" s="104"/>
      <c r="C737" s="97" t="str">
        <f>VLOOKUP(B737,Stock!$A$2:$B$133,2,0)</f>
        <v>#N/A</v>
      </c>
      <c r="D737" s="105"/>
      <c r="E737" s="106"/>
    </row>
    <row r="738" ht="15.75" customHeight="1">
      <c r="A738" s="95"/>
      <c r="B738" s="104"/>
      <c r="C738" s="97" t="str">
        <f>VLOOKUP(B738,Stock!$A$2:$B$133,2,0)</f>
        <v>#N/A</v>
      </c>
      <c r="D738" s="105"/>
      <c r="E738" s="106"/>
    </row>
    <row r="739" ht="15.75" customHeight="1">
      <c r="A739" s="95"/>
      <c r="B739" s="104"/>
      <c r="C739" s="97" t="str">
        <f>VLOOKUP(B739,Stock!$A$2:$B$133,2,0)</f>
        <v>#N/A</v>
      </c>
      <c r="D739" s="105"/>
      <c r="E739" s="106"/>
    </row>
    <row r="740" ht="15.75" customHeight="1">
      <c r="A740" s="95"/>
      <c r="B740" s="104"/>
      <c r="C740" s="97" t="str">
        <f>VLOOKUP(B740,Stock!$A$2:$B$133,2,0)</f>
        <v>#N/A</v>
      </c>
      <c r="D740" s="105"/>
      <c r="E740" s="106"/>
    </row>
    <row r="741" ht="15.75" customHeight="1">
      <c r="A741" s="95"/>
      <c r="B741" s="104"/>
      <c r="C741" s="97" t="str">
        <f>VLOOKUP(B741,Stock!$A$2:$B$133,2,0)</f>
        <v>#N/A</v>
      </c>
      <c r="D741" s="105"/>
      <c r="E741" s="106"/>
    </row>
    <row r="742" ht="15.75" customHeight="1">
      <c r="A742" s="95"/>
      <c r="B742" s="104"/>
      <c r="C742" s="97" t="str">
        <f>VLOOKUP(B742,Stock!$A$2:$B$133,2,0)</f>
        <v>#N/A</v>
      </c>
      <c r="D742" s="105"/>
      <c r="E742" s="106"/>
    </row>
    <row r="743" ht="15.75" customHeight="1">
      <c r="A743" s="95"/>
      <c r="B743" s="104"/>
      <c r="C743" s="97" t="str">
        <f>VLOOKUP(B743,Stock!$A$2:$B$133,2,0)</f>
        <v>#N/A</v>
      </c>
      <c r="D743" s="105"/>
      <c r="E743" s="106"/>
    </row>
    <row r="744" ht="15.75" customHeight="1">
      <c r="A744" s="95"/>
      <c r="B744" s="104"/>
      <c r="C744" s="97" t="str">
        <f>VLOOKUP(B744,Stock!$A$2:$B$133,2,0)</f>
        <v>#N/A</v>
      </c>
      <c r="D744" s="105"/>
      <c r="E744" s="106"/>
    </row>
    <row r="745" ht="15.75" customHeight="1">
      <c r="A745" s="95"/>
      <c r="B745" s="104"/>
      <c r="C745" s="97" t="str">
        <f>VLOOKUP(B745,Stock!$A$2:$B$133,2,0)</f>
        <v>#N/A</v>
      </c>
      <c r="D745" s="105"/>
      <c r="E745" s="106"/>
    </row>
    <row r="746" ht="15.75" customHeight="1">
      <c r="A746" s="95"/>
      <c r="B746" s="104"/>
      <c r="C746" s="97" t="str">
        <f>VLOOKUP(B746,Stock!$A$2:$B$133,2,0)</f>
        <v>#N/A</v>
      </c>
      <c r="D746" s="105"/>
      <c r="E746" s="106"/>
    </row>
    <row r="747" ht="15.75" customHeight="1">
      <c r="A747" s="95"/>
      <c r="B747" s="104"/>
      <c r="C747" s="97" t="str">
        <f>VLOOKUP(B747,Stock!$A$2:$B$133,2,0)</f>
        <v>#N/A</v>
      </c>
      <c r="D747" s="105"/>
      <c r="E747" s="106"/>
    </row>
    <row r="748" ht="15.75" customHeight="1">
      <c r="A748" s="95"/>
      <c r="B748" s="104"/>
      <c r="C748" s="97" t="str">
        <f>VLOOKUP(B748,Stock!$A$2:$B$133,2,0)</f>
        <v>#N/A</v>
      </c>
      <c r="D748" s="105"/>
      <c r="E748" s="106"/>
    </row>
    <row r="749" ht="15.75" customHeight="1">
      <c r="A749" s="95"/>
      <c r="B749" s="104"/>
      <c r="C749" s="97" t="str">
        <f>VLOOKUP(B749,Stock!$A$2:$B$133,2,0)</f>
        <v>#N/A</v>
      </c>
      <c r="D749" s="105"/>
      <c r="E749" s="106"/>
    </row>
    <row r="750" ht="15.75" customHeight="1">
      <c r="A750" s="95"/>
      <c r="B750" s="104"/>
      <c r="C750" s="97" t="str">
        <f>VLOOKUP(B750,Stock!$A$2:$B$133,2,0)</f>
        <v>#N/A</v>
      </c>
      <c r="D750" s="105"/>
      <c r="E750" s="106"/>
    </row>
    <row r="751" ht="15.75" customHeight="1">
      <c r="A751" s="95"/>
      <c r="B751" s="104"/>
      <c r="C751" s="97" t="str">
        <f>VLOOKUP(B751,Stock!$A$2:$B$133,2,0)</f>
        <v>#N/A</v>
      </c>
      <c r="D751" s="105"/>
      <c r="E751" s="106"/>
    </row>
    <row r="752" ht="15.75" customHeight="1">
      <c r="A752" s="95"/>
      <c r="B752" s="104"/>
      <c r="C752" s="97" t="str">
        <f>VLOOKUP(B752,Stock!$A$2:$B$133,2,0)</f>
        <v>#N/A</v>
      </c>
      <c r="D752" s="105"/>
      <c r="E752" s="106"/>
    </row>
    <row r="753" ht="15.75" customHeight="1">
      <c r="A753" s="95"/>
      <c r="B753" s="104"/>
      <c r="C753" s="97" t="str">
        <f>VLOOKUP(B753,Stock!$A$2:$B$133,2,0)</f>
        <v>#N/A</v>
      </c>
      <c r="D753" s="105"/>
      <c r="E753" s="106"/>
    </row>
    <row r="754" ht="15.75" customHeight="1">
      <c r="A754" s="95"/>
      <c r="B754" s="104"/>
      <c r="C754" s="97" t="str">
        <f>VLOOKUP(B754,Stock!$A$2:$B$133,2,0)</f>
        <v>#N/A</v>
      </c>
      <c r="D754" s="105"/>
      <c r="E754" s="106"/>
    </row>
    <row r="755" ht="15.75" customHeight="1">
      <c r="A755" s="95"/>
      <c r="B755" s="104"/>
      <c r="C755" s="97" t="str">
        <f>VLOOKUP(B755,Stock!$A$2:$B$133,2,0)</f>
        <v>#N/A</v>
      </c>
      <c r="D755" s="105"/>
      <c r="E755" s="106"/>
    </row>
    <row r="756" ht="15.75" customHeight="1">
      <c r="A756" s="95"/>
      <c r="B756" s="104"/>
      <c r="C756" s="97" t="str">
        <f>VLOOKUP(B756,Stock!$A$2:$B$133,2,0)</f>
        <v>#N/A</v>
      </c>
      <c r="D756" s="105"/>
      <c r="E756" s="106"/>
    </row>
    <row r="757" ht="15.75" customHeight="1">
      <c r="A757" s="95"/>
      <c r="B757" s="104"/>
      <c r="C757" s="97" t="str">
        <f>VLOOKUP(B757,Stock!$A$2:$B$133,2,0)</f>
        <v>#N/A</v>
      </c>
      <c r="D757" s="105"/>
      <c r="E757" s="106"/>
    </row>
    <row r="758" ht="15.75" customHeight="1">
      <c r="A758" s="95"/>
      <c r="B758" s="104"/>
      <c r="C758" s="97" t="str">
        <f>VLOOKUP(B758,Stock!$A$2:$B$133,2,0)</f>
        <v>#N/A</v>
      </c>
      <c r="D758" s="105"/>
      <c r="E758" s="106"/>
    </row>
    <row r="759" ht="15.75" customHeight="1">
      <c r="A759" s="95"/>
      <c r="B759" s="104"/>
      <c r="C759" s="97" t="str">
        <f>VLOOKUP(B759,Stock!$A$2:$B$133,2,0)</f>
        <v>#N/A</v>
      </c>
      <c r="D759" s="105"/>
      <c r="E759" s="106"/>
    </row>
    <row r="760" ht="15.75" customHeight="1">
      <c r="A760" s="95"/>
      <c r="B760" s="104"/>
      <c r="C760" s="97" t="str">
        <f>VLOOKUP(B760,Stock!$A$2:$B$133,2,0)</f>
        <v>#N/A</v>
      </c>
      <c r="D760" s="105"/>
      <c r="E760" s="106"/>
    </row>
    <row r="761" ht="15.75" customHeight="1">
      <c r="A761" s="95"/>
      <c r="B761" s="104"/>
      <c r="C761" s="97" t="str">
        <f>VLOOKUP(B761,Stock!$A$2:$B$133,2,0)</f>
        <v>#N/A</v>
      </c>
      <c r="D761" s="105"/>
      <c r="E761" s="106"/>
    </row>
    <row r="762" ht="15.75" customHeight="1">
      <c r="A762" s="95"/>
      <c r="B762" s="104"/>
      <c r="C762" s="97" t="str">
        <f>VLOOKUP(B762,Stock!$A$2:$B$133,2,0)</f>
        <v>#N/A</v>
      </c>
      <c r="D762" s="105"/>
      <c r="E762" s="106"/>
    </row>
    <row r="763" ht="15.75" customHeight="1">
      <c r="A763" s="95"/>
      <c r="B763" s="104"/>
      <c r="C763" s="97" t="str">
        <f>VLOOKUP(B763,Stock!$A$2:$B$133,2,0)</f>
        <v>#N/A</v>
      </c>
      <c r="D763" s="105"/>
      <c r="E763" s="106"/>
    </row>
    <row r="764" ht="15.75" customHeight="1">
      <c r="A764" s="95"/>
      <c r="B764" s="104"/>
      <c r="C764" s="97" t="str">
        <f>VLOOKUP(B764,Stock!$A$2:$B$133,2,0)</f>
        <v>#N/A</v>
      </c>
      <c r="D764" s="105"/>
      <c r="E764" s="106"/>
    </row>
    <row r="765" ht="15.75" customHeight="1">
      <c r="A765" s="95"/>
      <c r="B765" s="104"/>
      <c r="C765" s="97" t="str">
        <f>VLOOKUP(B765,Stock!$A$2:$B$133,2,0)</f>
        <v>#N/A</v>
      </c>
      <c r="D765" s="105"/>
      <c r="E765" s="106"/>
    </row>
    <row r="766" ht="15.75" customHeight="1">
      <c r="A766" s="95"/>
      <c r="B766" s="104"/>
      <c r="C766" s="97" t="str">
        <f>VLOOKUP(B766,Stock!$A$2:$B$133,2,0)</f>
        <v>#N/A</v>
      </c>
      <c r="D766" s="105"/>
      <c r="E766" s="106"/>
    </row>
    <row r="767" ht="15.75" customHeight="1">
      <c r="A767" s="95"/>
      <c r="B767" s="104"/>
      <c r="C767" s="97" t="str">
        <f>VLOOKUP(B767,Stock!$A$2:$B$133,2,0)</f>
        <v>#N/A</v>
      </c>
      <c r="D767" s="105"/>
      <c r="E767" s="106"/>
    </row>
    <row r="768" ht="15.75" customHeight="1">
      <c r="A768" s="95"/>
      <c r="B768" s="104"/>
      <c r="C768" s="97" t="str">
        <f>VLOOKUP(B768,Stock!$A$2:$B$133,2,0)</f>
        <v>#N/A</v>
      </c>
      <c r="D768" s="105"/>
      <c r="E768" s="106"/>
    </row>
    <row r="769" ht="15.75" customHeight="1">
      <c r="A769" s="95"/>
      <c r="B769" s="104"/>
      <c r="C769" s="97" t="str">
        <f>VLOOKUP(B769,Stock!$A$2:$B$133,2,0)</f>
        <v>#N/A</v>
      </c>
      <c r="D769" s="105"/>
      <c r="E769" s="106"/>
    </row>
    <row r="770" ht="15.75" customHeight="1">
      <c r="A770" s="95"/>
      <c r="B770" s="104"/>
      <c r="C770" s="97" t="str">
        <f>VLOOKUP(B770,Stock!$A$2:$B$133,2,0)</f>
        <v>#N/A</v>
      </c>
      <c r="D770" s="105"/>
      <c r="E770" s="106"/>
    </row>
    <row r="771" ht="15.75" customHeight="1">
      <c r="A771" s="95"/>
      <c r="B771" s="104"/>
      <c r="C771" s="97" t="str">
        <f>VLOOKUP(B771,Stock!$A$2:$B$133,2,0)</f>
        <v>#N/A</v>
      </c>
      <c r="D771" s="105"/>
      <c r="E771" s="106"/>
    </row>
    <row r="772" ht="15.75" customHeight="1">
      <c r="A772" s="95"/>
      <c r="B772" s="104"/>
      <c r="C772" s="97" t="str">
        <f>VLOOKUP(B772,Stock!$A$2:$B$133,2,0)</f>
        <v>#N/A</v>
      </c>
      <c r="D772" s="105"/>
      <c r="E772" s="106"/>
    </row>
    <row r="773" ht="15.75" customHeight="1">
      <c r="A773" s="95"/>
      <c r="B773" s="104"/>
      <c r="C773" s="97" t="str">
        <f>VLOOKUP(B773,Stock!$A$2:$B$133,2,0)</f>
        <v>#N/A</v>
      </c>
      <c r="D773" s="105"/>
      <c r="E773" s="106"/>
    </row>
    <row r="774" ht="15.75" customHeight="1">
      <c r="A774" s="95"/>
      <c r="B774" s="104"/>
      <c r="C774" s="97" t="str">
        <f>VLOOKUP(B774,Stock!$A$2:$B$133,2,0)</f>
        <v>#N/A</v>
      </c>
      <c r="D774" s="105"/>
      <c r="E774" s="106"/>
    </row>
    <row r="775" ht="15.75" customHeight="1">
      <c r="A775" s="95"/>
      <c r="B775" s="104"/>
      <c r="C775" s="97" t="str">
        <f>VLOOKUP(B775,Stock!$A$2:$B$133,2,0)</f>
        <v>#N/A</v>
      </c>
      <c r="D775" s="105"/>
      <c r="E775" s="106"/>
    </row>
    <row r="776" ht="15.75" customHeight="1">
      <c r="A776" s="95"/>
      <c r="B776" s="104"/>
      <c r="C776" s="97" t="str">
        <f>VLOOKUP(B776,Stock!$A$2:$B$133,2,0)</f>
        <v>#N/A</v>
      </c>
      <c r="D776" s="105"/>
      <c r="E776" s="106"/>
    </row>
    <row r="777" ht="15.75" customHeight="1">
      <c r="A777" s="95"/>
      <c r="B777" s="104"/>
      <c r="C777" s="97" t="str">
        <f>VLOOKUP(B777,Stock!$A$2:$B$133,2,0)</f>
        <v>#N/A</v>
      </c>
      <c r="D777" s="105"/>
      <c r="E777" s="106"/>
    </row>
    <row r="778" ht="15.75" customHeight="1">
      <c r="A778" s="95"/>
      <c r="B778" s="104"/>
      <c r="C778" s="97" t="str">
        <f>VLOOKUP(B778,Stock!$A$2:$B$133,2,0)</f>
        <v>#N/A</v>
      </c>
      <c r="D778" s="105"/>
      <c r="E778" s="106"/>
    </row>
    <row r="779" ht="15.75" customHeight="1">
      <c r="A779" s="95"/>
      <c r="B779" s="104"/>
      <c r="C779" s="97" t="str">
        <f>VLOOKUP(B779,Stock!$A$2:$B$133,2,0)</f>
        <v>#N/A</v>
      </c>
      <c r="D779" s="105"/>
      <c r="E779" s="106"/>
    </row>
    <row r="780" ht="15.75" customHeight="1">
      <c r="A780" s="95"/>
      <c r="B780" s="104"/>
      <c r="C780" s="97" t="str">
        <f>VLOOKUP(B780,Stock!$A$2:$B$133,2,0)</f>
        <v>#N/A</v>
      </c>
      <c r="D780" s="105"/>
      <c r="E780" s="106"/>
    </row>
    <row r="781" ht="15.75" customHeight="1">
      <c r="A781" s="95"/>
      <c r="B781" s="104"/>
      <c r="C781" s="97" t="str">
        <f>VLOOKUP(B781,Stock!$A$2:$B$133,2,0)</f>
        <v>#N/A</v>
      </c>
      <c r="D781" s="105"/>
      <c r="E781" s="106"/>
    </row>
    <row r="782" ht="15.75" customHeight="1">
      <c r="A782" s="95"/>
      <c r="B782" s="104"/>
      <c r="C782" s="97" t="str">
        <f>VLOOKUP(B782,Stock!$A$2:$B$133,2,0)</f>
        <v>#N/A</v>
      </c>
      <c r="D782" s="105"/>
      <c r="E782" s="106"/>
    </row>
    <row r="783" ht="15.75" customHeight="1">
      <c r="A783" s="95"/>
      <c r="B783" s="104"/>
      <c r="C783" s="97" t="str">
        <f>VLOOKUP(B783,Stock!$A$2:$B$133,2,0)</f>
        <v>#N/A</v>
      </c>
      <c r="D783" s="105"/>
      <c r="E783" s="106"/>
    </row>
    <row r="784" ht="15.75" customHeight="1">
      <c r="A784" s="95"/>
      <c r="B784" s="104"/>
      <c r="C784" s="97" t="str">
        <f>VLOOKUP(B784,Stock!$A$2:$B$133,2,0)</f>
        <v>#N/A</v>
      </c>
      <c r="D784" s="105"/>
      <c r="E784" s="106"/>
    </row>
    <row r="785" ht="15.75" customHeight="1">
      <c r="A785" s="95"/>
      <c r="B785" s="104"/>
      <c r="C785" s="97" t="str">
        <f>VLOOKUP(B785,Stock!$A$2:$B$133,2,0)</f>
        <v>#N/A</v>
      </c>
      <c r="D785" s="105"/>
      <c r="E785" s="106"/>
    </row>
    <row r="786" ht="15.75" customHeight="1">
      <c r="A786" s="95"/>
      <c r="B786" s="104"/>
      <c r="C786" s="97" t="str">
        <f>VLOOKUP(B786,Stock!$A$2:$B$133,2,0)</f>
        <v>#N/A</v>
      </c>
      <c r="D786" s="105"/>
      <c r="E786" s="106"/>
    </row>
    <row r="787" ht="15.75" customHeight="1">
      <c r="A787" s="95"/>
      <c r="B787" s="104"/>
      <c r="C787" s="97" t="str">
        <f>VLOOKUP(B787,Stock!$A$2:$B$133,2,0)</f>
        <v>#N/A</v>
      </c>
      <c r="D787" s="105"/>
      <c r="E787" s="106"/>
    </row>
    <row r="788" ht="15.75" customHeight="1">
      <c r="A788" s="95"/>
      <c r="B788" s="104"/>
      <c r="C788" s="97" t="str">
        <f>VLOOKUP(B788,Stock!$A$2:$B$133,2,0)</f>
        <v>#N/A</v>
      </c>
      <c r="D788" s="105"/>
      <c r="E788" s="106"/>
    </row>
    <row r="789" ht="15.75" customHeight="1">
      <c r="A789" s="95"/>
      <c r="B789" s="104"/>
      <c r="C789" s="97" t="str">
        <f>VLOOKUP(B789,Stock!$A$2:$B$133,2,0)</f>
        <v>#N/A</v>
      </c>
      <c r="D789" s="105"/>
      <c r="E789" s="106"/>
    </row>
    <row r="790" ht="15.75" customHeight="1">
      <c r="A790" s="95"/>
      <c r="B790" s="104"/>
      <c r="C790" s="97" t="str">
        <f>VLOOKUP(B790,Stock!$A$2:$B$133,2,0)</f>
        <v>#N/A</v>
      </c>
      <c r="D790" s="105"/>
      <c r="E790" s="106"/>
    </row>
    <row r="791" ht="15.75" customHeight="1">
      <c r="A791" s="95"/>
      <c r="B791" s="104"/>
      <c r="C791" s="97" t="str">
        <f>VLOOKUP(B791,Stock!$A$2:$B$133,2,0)</f>
        <v>#N/A</v>
      </c>
      <c r="D791" s="105"/>
      <c r="E791" s="106"/>
    </row>
    <row r="792" ht="15.75" customHeight="1">
      <c r="A792" s="95"/>
      <c r="B792" s="104"/>
      <c r="C792" s="97" t="str">
        <f>VLOOKUP(B792,Stock!$A$2:$B$133,2,0)</f>
        <v>#N/A</v>
      </c>
      <c r="D792" s="105"/>
      <c r="E792" s="106"/>
    </row>
    <row r="793" ht="15.75" customHeight="1">
      <c r="A793" s="95"/>
      <c r="B793" s="104"/>
      <c r="C793" s="97" t="str">
        <f>VLOOKUP(B793,Stock!$A$2:$B$133,2,0)</f>
        <v>#N/A</v>
      </c>
      <c r="D793" s="105"/>
      <c r="E793" s="106"/>
    </row>
    <row r="794" ht="15.75" customHeight="1">
      <c r="A794" s="95"/>
      <c r="B794" s="104"/>
      <c r="C794" s="97" t="str">
        <f>VLOOKUP(B794,Stock!$A$2:$B$133,2,0)</f>
        <v>#N/A</v>
      </c>
      <c r="D794" s="105"/>
      <c r="E794" s="106"/>
    </row>
    <row r="795" ht="15.75" customHeight="1">
      <c r="A795" s="95"/>
      <c r="B795" s="104"/>
      <c r="C795" s="97" t="str">
        <f>VLOOKUP(B795,Stock!$A$2:$B$133,2,0)</f>
        <v>#N/A</v>
      </c>
      <c r="D795" s="105"/>
      <c r="E795" s="106"/>
    </row>
    <row r="796" ht="15.75" customHeight="1">
      <c r="A796" s="95"/>
      <c r="B796" s="104"/>
      <c r="C796" s="97" t="str">
        <f>VLOOKUP(B796,Stock!$A$2:$B$133,2,0)</f>
        <v>#N/A</v>
      </c>
      <c r="D796" s="105"/>
      <c r="E796" s="106"/>
    </row>
    <row r="797" ht="15.75" customHeight="1">
      <c r="A797" s="95"/>
      <c r="B797" s="104"/>
      <c r="C797" s="97" t="str">
        <f>VLOOKUP(B797,Stock!$A$2:$B$133,2,0)</f>
        <v>#N/A</v>
      </c>
      <c r="D797" s="105"/>
      <c r="E797" s="106"/>
    </row>
    <row r="798" ht="15.75" customHeight="1">
      <c r="A798" s="95"/>
      <c r="B798" s="104"/>
      <c r="C798" s="97" t="str">
        <f>VLOOKUP(B798,Stock!$A$2:$B$133,2,0)</f>
        <v>#N/A</v>
      </c>
      <c r="D798" s="105"/>
      <c r="E798" s="106"/>
    </row>
    <row r="799" ht="15.75" customHeight="1">
      <c r="A799" s="95"/>
      <c r="B799" s="104"/>
      <c r="C799" s="97" t="str">
        <f>VLOOKUP(B799,Stock!$A$2:$B$133,2,0)</f>
        <v>#N/A</v>
      </c>
      <c r="D799" s="105"/>
      <c r="E799" s="106"/>
    </row>
    <row r="800" ht="15.75" customHeight="1">
      <c r="A800" s="95"/>
      <c r="B800" s="104"/>
      <c r="C800" s="97" t="str">
        <f>VLOOKUP(B800,Stock!$A$2:$B$133,2,0)</f>
        <v>#N/A</v>
      </c>
      <c r="D800" s="105"/>
      <c r="E800" s="106"/>
    </row>
    <row r="801" ht="15.75" customHeight="1">
      <c r="A801" s="95"/>
      <c r="B801" s="104"/>
      <c r="C801" s="97" t="str">
        <f>VLOOKUP(B801,Stock!$A$2:$B$133,2,0)</f>
        <v>#N/A</v>
      </c>
      <c r="D801" s="105"/>
      <c r="E801" s="106"/>
    </row>
    <row r="802" ht="15.75" customHeight="1">
      <c r="A802" s="95"/>
      <c r="B802" s="104"/>
      <c r="C802" s="97" t="str">
        <f>VLOOKUP(B802,Stock!$A$2:$B$133,2,0)</f>
        <v>#N/A</v>
      </c>
      <c r="D802" s="105"/>
      <c r="E802" s="106"/>
    </row>
    <row r="803" ht="15.75" customHeight="1">
      <c r="A803" s="95"/>
      <c r="B803" s="104"/>
      <c r="C803" s="97" t="str">
        <f>VLOOKUP(B803,Stock!$A$2:$B$133,2,0)</f>
        <v>#N/A</v>
      </c>
      <c r="D803" s="105"/>
      <c r="E803" s="106"/>
    </row>
    <row r="804" ht="15.75" customHeight="1">
      <c r="A804" s="95"/>
      <c r="B804" s="104"/>
      <c r="C804" s="97" t="str">
        <f>VLOOKUP(B804,Stock!$A$2:$B$133,2,0)</f>
        <v>#N/A</v>
      </c>
      <c r="D804" s="105"/>
      <c r="E804" s="106"/>
    </row>
    <row r="805" ht="15.75" customHeight="1">
      <c r="A805" s="95"/>
      <c r="B805" s="104"/>
      <c r="C805" s="97" t="str">
        <f>VLOOKUP(B805,Stock!$A$2:$B$133,2,0)</f>
        <v>#N/A</v>
      </c>
      <c r="D805" s="105"/>
      <c r="E805" s="106"/>
    </row>
    <row r="806" ht="15.75" customHeight="1">
      <c r="A806" s="95"/>
      <c r="B806" s="104"/>
      <c r="C806" s="97" t="str">
        <f>VLOOKUP(B806,Stock!$A$2:$B$133,2,0)</f>
        <v>#N/A</v>
      </c>
      <c r="D806" s="105"/>
      <c r="E806" s="106"/>
    </row>
    <row r="807" ht="15.75" customHeight="1">
      <c r="A807" s="95"/>
      <c r="B807" s="104"/>
      <c r="C807" s="97" t="str">
        <f>VLOOKUP(B807,Stock!$A$2:$B$133,2,0)</f>
        <v>#N/A</v>
      </c>
      <c r="D807" s="105"/>
      <c r="E807" s="106"/>
    </row>
    <row r="808" ht="15.75" customHeight="1">
      <c r="A808" s="95"/>
      <c r="B808" s="104"/>
      <c r="C808" s="97" t="str">
        <f>VLOOKUP(B808,Stock!$A$2:$B$133,2,0)</f>
        <v>#N/A</v>
      </c>
      <c r="D808" s="105"/>
      <c r="E808" s="106"/>
    </row>
    <row r="809" ht="15.75" customHeight="1">
      <c r="A809" s="95"/>
      <c r="B809" s="104"/>
      <c r="C809" s="97" t="str">
        <f>VLOOKUP(B809,Stock!$A$2:$B$133,2,0)</f>
        <v>#N/A</v>
      </c>
      <c r="D809" s="105"/>
      <c r="E809" s="106"/>
    </row>
    <row r="810" ht="15.75" customHeight="1">
      <c r="A810" s="95"/>
      <c r="B810" s="104"/>
      <c r="C810" s="97" t="str">
        <f>VLOOKUP(B810,Stock!$A$2:$B$133,2,0)</f>
        <v>#N/A</v>
      </c>
      <c r="D810" s="105"/>
      <c r="E810" s="106"/>
    </row>
    <row r="811" ht="15.75" customHeight="1">
      <c r="A811" s="95"/>
      <c r="B811" s="104"/>
      <c r="C811" s="97" t="str">
        <f>VLOOKUP(B811,Stock!$A$2:$B$133,2,0)</f>
        <v>#N/A</v>
      </c>
      <c r="D811" s="105"/>
      <c r="E811" s="106"/>
    </row>
    <row r="812" ht="15.75" customHeight="1">
      <c r="A812" s="95"/>
      <c r="B812" s="104"/>
      <c r="C812" s="97" t="str">
        <f>VLOOKUP(B812,Stock!$A$2:$B$133,2,0)</f>
        <v>#N/A</v>
      </c>
      <c r="D812" s="105"/>
      <c r="E812" s="106"/>
    </row>
    <row r="813" ht="15.75" customHeight="1">
      <c r="A813" s="95"/>
      <c r="B813" s="104"/>
      <c r="C813" s="97" t="str">
        <f>VLOOKUP(B813,Stock!$A$2:$B$133,2,0)</f>
        <v>#N/A</v>
      </c>
      <c r="D813" s="105"/>
      <c r="E813" s="106"/>
    </row>
    <row r="814" ht="15.75" customHeight="1">
      <c r="A814" s="95"/>
      <c r="B814" s="104"/>
      <c r="C814" s="97" t="str">
        <f>VLOOKUP(B814,Stock!$A$2:$B$133,2,0)</f>
        <v>#N/A</v>
      </c>
      <c r="D814" s="105"/>
      <c r="E814" s="106"/>
    </row>
    <row r="815" ht="15.75" customHeight="1">
      <c r="A815" s="95"/>
      <c r="B815" s="104"/>
      <c r="C815" s="97" t="str">
        <f>VLOOKUP(B815,Stock!$A$2:$B$133,2,0)</f>
        <v>#N/A</v>
      </c>
      <c r="D815" s="105"/>
      <c r="E815" s="106"/>
    </row>
    <row r="816" ht="15.75" customHeight="1">
      <c r="A816" s="95"/>
      <c r="B816" s="104"/>
      <c r="C816" s="97" t="str">
        <f>VLOOKUP(B816,Stock!$A$2:$B$133,2,0)</f>
        <v>#N/A</v>
      </c>
      <c r="D816" s="105"/>
      <c r="E816" s="106"/>
    </row>
    <row r="817" ht="15.75" customHeight="1">
      <c r="A817" s="95"/>
      <c r="B817" s="104"/>
      <c r="C817" s="97" t="str">
        <f>VLOOKUP(B817,Stock!$A$2:$B$133,2,0)</f>
        <v>#N/A</v>
      </c>
      <c r="D817" s="105"/>
      <c r="E817" s="106"/>
    </row>
    <row r="818" ht="15.75" customHeight="1">
      <c r="A818" s="95"/>
      <c r="B818" s="104"/>
      <c r="C818" s="97" t="str">
        <f>VLOOKUP(B818,Stock!$A$2:$B$133,2,0)</f>
        <v>#N/A</v>
      </c>
      <c r="D818" s="105"/>
      <c r="E818" s="106"/>
    </row>
    <row r="819" ht="15.75" customHeight="1">
      <c r="A819" s="95"/>
      <c r="B819" s="104"/>
      <c r="C819" s="97" t="str">
        <f>VLOOKUP(B819,Stock!$A$2:$B$133,2,0)</f>
        <v>#N/A</v>
      </c>
      <c r="D819" s="105"/>
      <c r="E819" s="106"/>
    </row>
    <row r="820" ht="15.75" customHeight="1">
      <c r="A820" s="95"/>
      <c r="B820" s="104"/>
      <c r="C820" s="97" t="str">
        <f>VLOOKUP(B820,Stock!$A$2:$B$133,2,0)</f>
        <v>#N/A</v>
      </c>
      <c r="D820" s="105"/>
      <c r="E820" s="106"/>
    </row>
    <row r="821" ht="15.75" customHeight="1">
      <c r="A821" s="95"/>
      <c r="B821" s="104"/>
      <c r="C821" s="97" t="str">
        <f>VLOOKUP(B821,Stock!$A$2:$B$133,2,0)</f>
        <v>#N/A</v>
      </c>
      <c r="D821" s="105"/>
      <c r="E821" s="106"/>
    </row>
    <row r="822" ht="15.75" customHeight="1">
      <c r="A822" s="95"/>
      <c r="B822" s="104"/>
      <c r="C822" s="97" t="str">
        <f>VLOOKUP(B822,Stock!$A$2:$B$133,2,0)</f>
        <v>#N/A</v>
      </c>
      <c r="D822" s="105"/>
      <c r="E822" s="106"/>
    </row>
    <row r="823" ht="15.75" customHeight="1">
      <c r="A823" s="95"/>
      <c r="B823" s="104"/>
      <c r="C823" s="97" t="str">
        <f>VLOOKUP(B823,Stock!$A$2:$B$133,2,0)</f>
        <v>#N/A</v>
      </c>
      <c r="D823" s="105"/>
      <c r="E823" s="106"/>
    </row>
    <row r="824" ht="15.75" customHeight="1">
      <c r="A824" s="95"/>
      <c r="B824" s="104"/>
      <c r="C824" s="97" t="str">
        <f>VLOOKUP(B824,Stock!$A$2:$B$133,2,0)</f>
        <v>#N/A</v>
      </c>
      <c r="D824" s="105"/>
      <c r="E824" s="106"/>
    </row>
    <row r="825" ht="15.75" customHeight="1">
      <c r="A825" s="95"/>
      <c r="B825" s="104"/>
      <c r="C825" s="97" t="str">
        <f>VLOOKUP(B825,Stock!$A$2:$B$133,2,0)</f>
        <v>#N/A</v>
      </c>
      <c r="D825" s="105"/>
      <c r="E825" s="106"/>
    </row>
    <row r="826" ht="15.75" customHeight="1">
      <c r="A826" s="95"/>
      <c r="B826" s="104"/>
      <c r="C826" s="97" t="str">
        <f>VLOOKUP(B826,Stock!$A$2:$B$133,2,0)</f>
        <v>#N/A</v>
      </c>
      <c r="D826" s="105"/>
      <c r="E826" s="106"/>
    </row>
    <row r="827" ht="15.75" customHeight="1">
      <c r="A827" s="95"/>
      <c r="B827" s="104"/>
      <c r="C827" s="97" t="str">
        <f>VLOOKUP(B827,Stock!$A$2:$B$133,2,0)</f>
        <v>#N/A</v>
      </c>
      <c r="D827" s="105"/>
      <c r="E827" s="106"/>
    </row>
    <row r="828" ht="15.75" customHeight="1">
      <c r="A828" s="95"/>
      <c r="B828" s="104"/>
      <c r="C828" s="97" t="str">
        <f>VLOOKUP(B828,Stock!$A$2:$B$133,2,0)</f>
        <v>#N/A</v>
      </c>
      <c r="D828" s="105"/>
      <c r="E828" s="106"/>
    </row>
    <row r="829" ht="15.75" customHeight="1">
      <c r="A829" s="95"/>
      <c r="B829" s="104"/>
      <c r="C829" s="97" t="str">
        <f>VLOOKUP(B829,Stock!$A$2:$B$133,2,0)</f>
        <v>#N/A</v>
      </c>
      <c r="D829" s="105"/>
      <c r="E829" s="106"/>
    </row>
    <row r="830" ht="15.75" customHeight="1">
      <c r="A830" s="95"/>
      <c r="B830" s="104"/>
      <c r="C830" s="97" t="str">
        <f>VLOOKUP(B830,Stock!$A$2:$B$133,2,0)</f>
        <v>#N/A</v>
      </c>
      <c r="D830" s="105"/>
      <c r="E830" s="106"/>
    </row>
    <row r="831" ht="15.75" customHeight="1">
      <c r="A831" s="95"/>
      <c r="B831" s="104"/>
      <c r="C831" s="97" t="str">
        <f>VLOOKUP(B831,Stock!$A$2:$B$133,2,0)</f>
        <v>#N/A</v>
      </c>
      <c r="D831" s="105"/>
      <c r="E831" s="106"/>
    </row>
    <row r="832" ht="15.75" customHeight="1">
      <c r="A832" s="95"/>
      <c r="B832" s="104"/>
      <c r="C832" s="97" t="str">
        <f>VLOOKUP(B832,Stock!$A$2:$B$133,2,0)</f>
        <v>#N/A</v>
      </c>
      <c r="D832" s="105"/>
      <c r="E832" s="106"/>
    </row>
    <row r="833" ht="15.75" customHeight="1">
      <c r="A833" s="95"/>
      <c r="B833" s="104"/>
      <c r="C833" s="97" t="str">
        <f>VLOOKUP(B833,Stock!$A$2:$B$133,2,0)</f>
        <v>#N/A</v>
      </c>
      <c r="D833" s="105"/>
      <c r="E833" s="106"/>
    </row>
    <row r="834" ht="15.75" customHeight="1">
      <c r="A834" s="95"/>
      <c r="B834" s="104"/>
      <c r="C834" s="97" t="str">
        <f>VLOOKUP(B834,Stock!$A$2:$B$133,2,0)</f>
        <v>#N/A</v>
      </c>
      <c r="D834" s="105"/>
      <c r="E834" s="106"/>
    </row>
    <row r="835" ht="15.75" customHeight="1">
      <c r="A835" s="95"/>
      <c r="B835" s="104"/>
      <c r="C835" s="97" t="str">
        <f>VLOOKUP(B835,Stock!$A$2:$B$133,2,0)</f>
        <v>#N/A</v>
      </c>
      <c r="D835" s="105"/>
      <c r="E835" s="106"/>
    </row>
    <row r="836" ht="15.75" customHeight="1">
      <c r="A836" s="95"/>
      <c r="B836" s="104"/>
      <c r="C836" s="97" t="str">
        <f>VLOOKUP(B836,Stock!$A$2:$B$133,2,0)</f>
        <v>#N/A</v>
      </c>
      <c r="D836" s="105"/>
      <c r="E836" s="106"/>
    </row>
    <row r="837" ht="15.75" customHeight="1">
      <c r="A837" s="95"/>
      <c r="B837" s="104"/>
      <c r="C837" s="97" t="str">
        <f>VLOOKUP(B837,Stock!$A$2:$B$133,2,0)</f>
        <v>#N/A</v>
      </c>
      <c r="D837" s="105"/>
      <c r="E837" s="106"/>
    </row>
    <row r="838" ht="15.75" customHeight="1">
      <c r="A838" s="95"/>
      <c r="B838" s="104"/>
      <c r="C838" s="97" t="str">
        <f>VLOOKUP(B838,Stock!$A$2:$B$133,2,0)</f>
        <v>#N/A</v>
      </c>
      <c r="D838" s="105"/>
      <c r="E838" s="106"/>
    </row>
    <row r="839" ht="15.75" customHeight="1">
      <c r="A839" s="95"/>
      <c r="B839" s="104"/>
      <c r="C839" s="97" t="str">
        <f>VLOOKUP(B839,Stock!$A$2:$B$133,2,0)</f>
        <v>#N/A</v>
      </c>
      <c r="D839" s="105"/>
      <c r="E839" s="106"/>
    </row>
    <row r="840" ht="15.75" customHeight="1">
      <c r="A840" s="95"/>
      <c r="B840" s="104"/>
      <c r="C840" s="97" t="str">
        <f>VLOOKUP(B840,Stock!$A$2:$B$133,2,0)</f>
        <v>#N/A</v>
      </c>
      <c r="D840" s="105"/>
      <c r="E840" s="106"/>
    </row>
    <row r="841" ht="15.75" customHeight="1">
      <c r="A841" s="95"/>
      <c r="B841" s="104"/>
      <c r="C841" s="97" t="str">
        <f>VLOOKUP(B841,Stock!$A$2:$B$133,2,0)</f>
        <v>#N/A</v>
      </c>
      <c r="D841" s="105"/>
      <c r="E841" s="106"/>
    </row>
    <row r="842" ht="15.75" customHeight="1">
      <c r="A842" s="95"/>
      <c r="B842" s="104"/>
      <c r="C842" s="97" t="str">
        <f>VLOOKUP(B842,Stock!$A$2:$B$133,2,0)</f>
        <v>#N/A</v>
      </c>
      <c r="D842" s="105"/>
      <c r="E842" s="106"/>
    </row>
    <row r="843" ht="15.75" customHeight="1">
      <c r="A843" s="95"/>
      <c r="B843" s="104"/>
      <c r="C843" s="97" t="str">
        <f>VLOOKUP(B843,Stock!$A$2:$B$133,2,0)</f>
        <v>#N/A</v>
      </c>
      <c r="D843" s="105"/>
      <c r="E843" s="106"/>
    </row>
    <row r="844" ht="15.75" customHeight="1">
      <c r="A844" s="95"/>
      <c r="B844" s="104"/>
      <c r="C844" s="97" t="str">
        <f>VLOOKUP(B844,Stock!$A$2:$B$133,2,0)</f>
        <v>#N/A</v>
      </c>
      <c r="D844" s="105"/>
      <c r="E844" s="106"/>
    </row>
    <row r="845" ht="15.75" customHeight="1">
      <c r="A845" s="95"/>
      <c r="B845" s="104"/>
      <c r="C845" s="97" t="str">
        <f>VLOOKUP(B845,Stock!$A$2:$B$133,2,0)</f>
        <v>#N/A</v>
      </c>
      <c r="D845" s="105"/>
      <c r="E845" s="106"/>
    </row>
    <row r="846" ht="15.75" customHeight="1">
      <c r="A846" s="95"/>
      <c r="B846" s="104"/>
      <c r="C846" s="97" t="str">
        <f>VLOOKUP(B846,Stock!$A$2:$B$133,2,0)</f>
        <v>#N/A</v>
      </c>
      <c r="D846" s="105"/>
      <c r="E846" s="106"/>
    </row>
    <row r="847" ht="15.75" customHeight="1">
      <c r="A847" s="95"/>
      <c r="B847" s="104"/>
      <c r="C847" s="97" t="str">
        <f>VLOOKUP(B847,Stock!$A$2:$B$133,2,0)</f>
        <v>#N/A</v>
      </c>
      <c r="D847" s="105"/>
      <c r="E847" s="106"/>
    </row>
    <row r="848" ht="15.75" customHeight="1">
      <c r="A848" s="95"/>
      <c r="B848" s="104"/>
      <c r="C848" s="97" t="str">
        <f>VLOOKUP(B848,Stock!$A$2:$B$133,2,0)</f>
        <v>#N/A</v>
      </c>
      <c r="D848" s="105"/>
      <c r="E848" s="106"/>
    </row>
    <row r="849" ht="15.75" customHeight="1">
      <c r="A849" s="95"/>
      <c r="B849" s="104"/>
      <c r="C849" s="97" t="str">
        <f>VLOOKUP(B849,Stock!$A$2:$B$133,2,0)</f>
        <v>#N/A</v>
      </c>
      <c r="D849" s="105"/>
      <c r="E849" s="106"/>
    </row>
    <row r="850" ht="15.75" customHeight="1">
      <c r="A850" s="95"/>
      <c r="B850" s="104"/>
      <c r="C850" s="97" t="str">
        <f>VLOOKUP(B850,Stock!$A$2:$B$133,2,0)</f>
        <v>#N/A</v>
      </c>
      <c r="D850" s="105"/>
      <c r="E850" s="106"/>
    </row>
    <row r="851" ht="15.75" customHeight="1">
      <c r="A851" s="95"/>
      <c r="B851" s="104"/>
      <c r="C851" s="97" t="str">
        <f>VLOOKUP(B851,Stock!$A$2:$B$133,2,0)</f>
        <v>#N/A</v>
      </c>
      <c r="D851" s="105"/>
      <c r="E851" s="106"/>
    </row>
    <row r="852" ht="15.75" customHeight="1">
      <c r="A852" s="95"/>
      <c r="B852" s="104"/>
      <c r="C852" s="97" t="str">
        <f>VLOOKUP(B852,Stock!$A$2:$B$133,2,0)</f>
        <v>#N/A</v>
      </c>
      <c r="D852" s="105"/>
      <c r="E852" s="106"/>
    </row>
    <row r="853" ht="15.75" customHeight="1">
      <c r="A853" s="95"/>
      <c r="B853" s="104"/>
      <c r="C853" s="97" t="str">
        <f>VLOOKUP(B853,Stock!$A$2:$B$133,2,0)</f>
        <v>#N/A</v>
      </c>
      <c r="D853" s="105"/>
      <c r="E853" s="106"/>
    </row>
    <row r="854" ht="15.75" customHeight="1">
      <c r="A854" s="95"/>
      <c r="B854" s="104"/>
      <c r="C854" s="97" t="str">
        <f>VLOOKUP(B854,Stock!$A$2:$B$133,2,0)</f>
        <v>#N/A</v>
      </c>
      <c r="D854" s="105"/>
      <c r="E854" s="106"/>
    </row>
    <row r="855" ht="15.75" customHeight="1">
      <c r="A855" s="95"/>
      <c r="B855" s="104"/>
      <c r="C855" s="97" t="str">
        <f>VLOOKUP(B855,Stock!$A$2:$B$133,2,0)</f>
        <v>#N/A</v>
      </c>
      <c r="D855" s="105"/>
      <c r="E855" s="106"/>
    </row>
    <row r="856" ht="15.75" customHeight="1">
      <c r="A856" s="95"/>
      <c r="B856" s="104"/>
      <c r="C856" s="97" t="str">
        <f>VLOOKUP(B856,Stock!$A$2:$B$133,2,0)</f>
        <v>#N/A</v>
      </c>
      <c r="D856" s="105"/>
      <c r="E856" s="106"/>
    </row>
    <row r="857" ht="15.75" customHeight="1">
      <c r="A857" s="95"/>
      <c r="B857" s="104"/>
      <c r="C857" s="97" t="str">
        <f>VLOOKUP(B857,Stock!$A$2:$B$133,2,0)</f>
        <v>#N/A</v>
      </c>
      <c r="D857" s="105"/>
      <c r="E857" s="106"/>
    </row>
    <row r="858" ht="15.75" customHeight="1">
      <c r="A858" s="95"/>
      <c r="B858" s="104"/>
      <c r="C858" s="97" t="str">
        <f>VLOOKUP(B858,Stock!$A$2:$B$133,2,0)</f>
        <v>#N/A</v>
      </c>
      <c r="D858" s="105"/>
      <c r="E858" s="106"/>
    </row>
    <row r="859" ht="15.75" customHeight="1">
      <c r="A859" s="95"/>
      <c r="B859" s="104"/>
      <c r="C859" s="97" t="str">
        <f>VLOOKUP(B859,Stock!$A$2:$B$133,2,0)</f>
        <v>#N/A</v>
      </c>
      <c r="D859" s="105"/>
      <c r="E859" s="106"/>
    </row>
    <row r="860" ht="15.75" customHeight="1">
      <c r="A860" s="95"/>
      <c r="B860" s="104"/>
      <c r="C860" s="97" t="str">
        <f>VLOOKUP(B860,Stock!$A$2:$B$133,2,0)</f>
        <v>#N/A</v>
      </c>
      <c r="D860" s="105"/>
      <c r="E860" s="106"/>
    </row>
    <row r="861" ht="15.75" customHeight="1">
      <c r="A861" s="95"/>
      <c r="B861" s="104"/>
      <c r="C861" s="97" t="str">
        <f>VLOOKUP(B861,Stock!$A$2:$B$133,2,0)</f>
        <v>#N/A</v>
      </c>
      <c r="D861" s="105"/>
      <c r="E861" s="106"/>
    </row>
    <row r="862" ht="15.75" customHeight="1">
      <c r="A862" s="95"/>
      <c r="B862" s="104"/>
      <c r="C862" s="97" t="str">
        <f>VLOOKUP(B862,Stock!$A$2:$B$133,2,0)</f>
        <v>#N/A</v>
      </c>
      <c r="D862" s="105"/>
      <c r="E862" s="106"/>
    </row>
    <row r="863" ht="15.75" customHeight="1">
      <c r="A863" s="95"/>
      <c r="B863" s="104"/>
      <c r="C863" s="97" t="str">
        <f>VLOOKUP(B863,Stock!$A$2:$B$133,2,0)</f>
        <v>#N/A</v>
      </c>
      <c r="D863" s="105"/>
      <c r="E863" s="106"/>
    </row>
    <row r="864" ht="15.75" customHeight="1">
      <c r="A864" s="95"/>
      <c r="B864" s="104"/>
      <c r="C864" s="97" t="str">
        <f>VLOOKUP(B864,Stock!$A$2:$B$133,2,0)</f>
        <v>#N/A</v>
      </c>
      <c r="D864" s="105"/>
      <c r="E864" s="106"/>
    </row>
    <row r="865" ht="15.75" customHeight="1">
      <c r="A865" s="95"/>
      <c r="B865" s="104"/>
      <c r="C865" s="97" t="str">
        <f>VLOOKUP(B865,Stock!$A$2:$B$133,2,0)</f>
        <v>#N/A</v>
      </c>
      <c r="D865" s="105"/>
      <c r="E865" s="106"/>
    </row>
    <row r="866" ht="15.75" customHeight="1">
      <c r="A866" s="95"/>
      <c r="B866" s="104"/>
      <c r="C866" s="97" t="str">
        <f>VLOOKUP(B866,Stock!$A$2:$B$133,2,0)</f>
        <v>#N/A</v>
      </c>
      <c r="D866" s="105"/>
      <c r="E866" s="106"/>
    </row>
    <row r="867" ht="15.75" customHeight="1">
      <c r="A867" s="95"/>
      <c r="B867" s="104"/>
      <c r="C867" s="97" t="str">
        <f>VLOOKUP(B867,Stock!$A$2:$B$133,2,0)</f>
        <v>#N/A</v>
      </c>
      <c r="D867" s="105"/>
      <c r="E867" s="106"/>
    </row>
    <row r="868" ht="15.75" customHeight="1">
      <c r="A868" s="95"/>
      <c r="B868" s="104"/>
      <c r="C868" s="97" t="str">
        <f>VLOOKUP(B868,Stock!$A$2:$B$133,2,0)</f>
        <v>#N/A</v>
      </c>
      <c r="D868" s="105"/>
      <c r="E868" s="106"/>
    </row>
    <row r="869" ht="15.75" customHeight="1">
      <c r="A869" s="95"/>
      <c r="B869" s="104"/>
      <c r="C869" s="97" t="str">
        <f>VLOOKUP(B869,Stock!$A$2:$B$133,2,0)</f>
        <v>#N/A</v>
      </c>
      <c r="D869" s="105"/>
      <c r="E869" s="106"/>
    </row>
    <row r="870" ht="15.75" customHeight="1">
      <c r="A870" s="95"/>
      <c r="B870" s="104"/>
      <c r="C870" s="97" t="str">
        <f>VLOOKUP(B870,Stock!$A$2:$B$133,2,0)</f>
        <v>#N/A</v>
      </c>
      <c r="D870" s="105"/>
      <c r="E870" s="106"/>
    </row>
    <row r="871" ht="15.75" customHeight="1">
      <c r="A871" s="95"/>
      <c r="B871" s="104"/>
      <c r="C871" s="97" t="str">
        <f>VLOOKUP(B871,Stock!$A$2:$B$133,2,0)</f>
        <v>#N/A</v>
      </c>
      <c r="D871" s="105"/>
      <c r="E871" s="106"/>
    </row>
    <row r="872" ht="15.75" customHeight="1">
      <c r="A872" s="95"/>
      <c r="B872" s="104"/>
      <c r="C872" s="97" t="str">
        <f>VLOOKUP(B872,Stock!$A$2:$B$133,2,0)</f>
        <v>#N/A</v>
      </c>
      <c r="D872" s="105"/>
      <c r="E872" s="106"/>
    </row>
    <row r="873" ht="15.75" customHeight="1">
      <c r="A873" s="95"/>
      <c r="B873" s="104"/>
      <c r="C873" s="97" t="str">
        <f>VLOOKUP(B873,Stock!$A$2:$B$133,2,0)</f>
        <v>#N/A</v>
      </c>
      <c r="D873" s="105"/>
      <c r="E873" s="106"/>
    </row>
    <row r="874" ht="15.75" customHeight="1">
      <c r="A874" s="95"/>
      <c r="B874" s="104"/>
      <c r="C874" s="97" t="str">
        <f>VLOOKUP(B874,Stock!$A$2:$B$133,2,0)</f>
        <v>#N/A</v>
      </c>
      <c r="D874" s="105"/>
      <c r="E874" s="106"/>
    </row>
    <row r="875" ht="15.75" customHeight="1">
      <c r="A875" s="95"/>
      <c r="B875" s="104"/>
      <c r="C875" s="97" t="str">
        <f>VLOOKUP(B875,Stock!$A$2:$B$133,2,0)</f>
        <v>#N/A</v>
      </c>
      <c r="D875" s="105"/>
      <c r="E875" s="106"/>
    </row>
    <row r="876" ht="15.75" customHeight="1">
      <c r="A876" s="95"/>
      <c r="B876" s="104"/>
      <c r="C876" s="97" t="str">
        <f>VLOOKUP(B876,Stock!$A$2:$B$133,2,0)</f>
        <v>#N/A</v>
      </c>
      <c r="D876" s="105"/>
      <c r="E876" s="106"/>
    </row>
    <row r="877" ht="15.75" customHeight="1">
      <c r="A877" s="95"/>
      <c r="B877" s="104"/>
      <c r="C877" s="97" t="str">
        <f>VLOOKUP(B877,Stock!$A$2:$B$133,2,0)</f>
        <v>#N/A</v>
      </c>
      <c r="D877" s="105"/>
      <c r="E877" s="106"/>
    </row>
    <row r="878" ht="15.75" customHeight="1">
      <c r="A878" s="95"/>
      <c r="B878" s="104"/>
      <c r="C878" s="97" t="str">
        <f>VLOOKUP(B878,Stock!$A$2:$B$133,2,0)</f>
        <v>#N/A</v>
      </c>
      <c r="D878" s="105"/>
      <c r="E878" s="106"/>
    </row>
    <row r="879" ht="15.75" customHeight="1">
      <c r="A879" s="95"/>
      <c r="B879" s="104"/>
      <c r="C879" s="97" t="str">
        <f>VLOOKUP(B879,Stock!$A$2:$B$133,2,0)</f>
        <v>#N/A</v>
      </c>
      <c r="D879" s="105"/>
      <c r="E879" s="106"/>
    </row>
    <row r="880" ht="15.75" customHeight="1">
      <c r="A880" s="95"/>
      <c r="B880" s="104"/>
      <c r="C880" s="97" t="str">
        <f>VLOOKUP(B880,Stock!$A$2:$B$133,2,0)</f>
        <v>#N/A</v>
      </c>
      <c r="D880" s="105"/>
      <c r="E880" s="106"/>
    </row>
    <row r="881" ht="15.75" customHeight="1">
      <c r="A881" s="95"/>
      <c r="B881" s="104"/>
      <c r="C881" s="97" t="str">
        <f>VLOOKUP(B881,Stock!$A$2:$B$133,2,0)</f>
        <v>#N/A</v>
      </c>
      <c r="D881" s="105"/>
      <c r="E881" s="106"/>
    </row>
    <row r="882" ht="15.75" customHeight="1">
      <c r="A882" s="95"/>
      <c r="B882" s="104"/>
      <c r="C882" s="97" t="str">
        <f>VLOOKUP(B882,Stock!$A$2:$B$133,2,0)</f>
        <v>#N/A</v>
      </c>
      <c r="D882" s="105"/>
      <c r="E882" s="106"/>
    </row>
    <row r="883" ht="15.75" customHeight="1">
      <c r="A883" s="95"/>
      <c r="B883" s="104"/>
      <c r="C883" s="97" t="str">
        <f>VLOOKUP(B883,Stock!$A$2:$B$133,2,0)</f>
        <v>#N/A</v>
      </c>
      <c r="D883" s="105"/>
      <c r="E883" s="106"/>
    </row>
    <row r="884" ht="15.75" customHeight="1">
      <c r="A884" s="95"/>
      <c r="B884" s="104"/>
      <c r="C884" s="97" t="str">
        <f>VLOOKUP(B884,Stock!$A$2:$B$133,2,0)</f>
        <v>#N/A</v>
      </c>
      <c r="D884" s="105"/>
      <c r="E884" s="106"/>
    </row>
    <row r="885" ht="15.75" customHeight="1">
      <c r="A885" s="95"/>
      <c r="B885" s="104"/>
      <c r="C885" s="97" t="str">
        <f>VLOOKUP(B885,Stock!$A$2:$B$133,2,0)</f>
        <v>#N/A</v>
      </c>
      <c r="D885" s="105"/>
      <c r="E885" s="106"/>
    </row>
    <row r="886" ht="15.75" customHeight="1">
      <c r="A886" s="95"/>
      <c r="B886" s="104"/>
      <c r="C886" s="97" t="str">
        <f>VLOOKUP(B886,Stock!$A$2:$B$133,2,0)</f>
        <v>#N/A</v>
      </c>
      <c r="D886" s="105"/>
      <c r="E886" s="106"/>
    </row>
    <row r="887" ht="15.75" customHeight="1">
      <c r="A887" s="95"/>
      <c r="B887" s="104"/>
      <c r="C887" s="97" t="str">
        <f>VLOOKUP(B887,Stock!$A$2:$B$133,2,0)</f>
        <v>#N/A</v>
      </c>
      <c r="D887" s="105"/>
      <c r="E887" s="106"/>
    </row>
    <row r="888" ht="15.75" customHeight="1">
      <c r="A888" s="95"/>
      <c r="B888" s="104"/>
      <c r="C888" s="97" t="str">
        <f>VLOOKUP(B888,Stock!$A$2:$B$133,2,0)</f>
        <v>#N/A</v>
      </c>
      <c r="D888" s="105"/>
      <c r="E888" s="106"/>
    </row>
    <row r="889" ht="15.75" customHeight="1">
      <c r="A889" s="95"/>
      <c r="B889" s="104"/>
      <c r="C889" s="97" t="str">
        <f>VLOOKUP(B889,Stock!$A$2:$B$133,2,0)</f>
        <v>#N/A</v>
      </c>
      <c r="D889" s="105"/>
      <c r="E889" s="106"/>
    </row>
    <row r="890" ht="15.75" customHeight="1">
      <c r="A890" s="95"/>
      <c r="B890" s="104"/>
      <c r="C890" s="97" t="str">
        <f>VLOOKUP(B890,Stock!$A$2:$B$133,2,0)</f>
        <v>#N/A</v>
      </c>
      <c r="D890" s="105"/>
      <c r="E890" s="106"/>
    </row>
    <row r="891" ht="15.75" customHeight="1">
      <c r="A891" s="95"/>
      <c r="B891" s="104"/>
      <c r="C891" s="97" t="str">
        <f>VLOOKUP(B891,Stock!$A$2:$B$133,2,0)</f>
        <v>#N/A</v>
      </c>
      <c r="D891" s="105"/>
      <c r="E891" s="106"/>
    </row>
    <row r="892" ht="15.75" customHeight="1">
      <c r="A892" s="95"/>
      <c r="B892" s="104"/>
      <c r="C892" s="97" t="str">
        <f>VLOOKUP(B892,Stock!$A$2:$B$133,2,0)</f>
        <v>#N/A</v>
      </c>
      <c r="D892" s="105"/>
      <c r="E892" s="106"/>
    </row>
    <row r="893" ht="15.75" customHeight="1">
      <c r="A893" s="95"/>
      <c r="B893" s="104"/>
      <c r="C893" s="97" t="str">
        <f>VLOOKUP(B893,Stock!$A$2:$B$133,2,0)</f>
        <v>#N/A</v>
      </c>
      <c r="D893" s="105"/>
      <c r="E893" s="106"/>
    </row>
    <row r="894" ht="15.75" customHeight="1">
      <c r="A894" s="95"/>
      <c r="B894" s="104"/>
      <c r="C894" s="97" t="str">
        <f>VLOOKUP(B894,Stock!$A$2:$B$133,2,0)</f>
        <v>#N/A</v>
      </c>
      <c r="D894" s="105"/>
      <c r="E894" s="106"/>
    </row>
    <row r="895" ht="15.75" customHeight="1">
      <c r="A895" s="95"/>
      <c r="B895" s="104"/>
      <c r="C895" s="97" t="str">
        <f>VLOOKUP(B895,Stock!$A$2:$B$133,2,0)</f>
        <v>#N/A</v>
      </c>
      <c r="D895" s="105"/>
      <c r="E895" s="106"/>
    </row>
    <row r="896" ht="15.75" customHeight="1">
      <c r="A896" s="95"/>
      <c r="B896" s="104"/>
      <c r="C896" s="97" t="str">
        <f>VLOOKUP(B896,Stock!$A$2:$B$133,2,0)</f>
        <v>#N/A</v>
      </c>
      <c r="D896" s="105"/>
      <c r="E896" s="106"/>
    </row>
    <row r="897" ht="15.75" customHeight="1">
      <c r="A897" s="95"/>
      <c r="B897" s="104"/>
      <c r="C897" s="97" t="str">
        <f>VLOOKUP(B897,Stock!$A$2:$B$133,2,0)</f>
        <v>#N/A</v>
      </c>
      <c r="D897" s="105"/>
      <c r="E897" s="106"/>
    </row>
    <row r="898" ht="15.75" customHeight="1">
      <c r="A898" s="95"/>
      <c r="B898" s="104"/>
      <c r="C898" s="97" t="str">
        <f>VLOOKUP(B898,Stock!$A$2:$B$133,2,0)</f>
        <v>#N/A</v>
      </c>
      <c r="D898" s="105"/>
      <c r="E898" s="106"/>
    </row>
    <row r="899" ht="15.75" customHeight="1">
      <c r="A899" s="95"/>
      <c r="B899" s="104"/>
      <c r="C899" s="97" t="str">
        <f>VLOOKUP(B899,Stock!$A$2:$B$133,2,0)</f>
        <v>#N/A</v>
      </c>
      <c r="D899" s="105"/>
      <c r="E899" s="106"/>
    </row>
    <row r="900" ht="15.75" customHeight="1">
      <c r="A900" s="95"/>
      <c r="B900" s="104"/>
      <c r="C900" s="97" t="str">
        <f>VLOOKUP(B900,Stock!$A$2:$B$133,2,0)</f>
        <v>#N/A</v>
      </c>
      <c r="D900" s="105"/>
      <c r="E900" s="106"/>
    </row>
    <row r="901" ht="15.75" customHeight="1">
      <c r="A901" s="95"/>
      <c r="B901" s="104"/>
      <c r="C901" s="97" t="str">
        <f>VLOOKUP(B901,Stock!$A$2:$B$133,2,0)</f>
        <v>#N/A</v>
      </c>
      <c r="D901" s="105"/>
      <c r="E901" s="106"/>
    </row>
    <row r="902" ht="15.75" customHeight="1">
      <c r="A902" s="95"/>
      <c r="B902" s="104"/>
      <c r="C902" s="97" t="str">
        <f>VLOOKUP(B902,Stock!$A$2:$B$133,2,0)</f>
        <v>#N/A</v>
      </c>
      <c r="D902" s="105"/>
      <c r="E902" s="106"/>
    </row>
    <row r="903" ht="15.75" customHeight="1">
      <c r="A903" s="95"/>
      <c r="B903" s="104"/>
      <c r="C903" s="97" t="str">
        <f>VLOOKUP(B903,Stock!$A$2:$B$133,2,0)</f>
        <v>#N/A</v>
      </c>
      <c r="D903" s="105"/>
      <c r="E903" s="106"/>
    </row>
    <row r="904" ht="15.75" customHeight="1">
      <c r="A904" s="95"/>
      <c r="B904" s="104"/>
      <c r="C904" s="97" t="str">
        <f>VLOOKUP(B904,Stock!$A$2:$B$133,2,0)</f>
        <v>#N/A</v>
      </c>
      <c r="D904" s="105"/>
      <c r="E904" s="106"/>
    </row>
    <row r="905" ht="15.75" customHeight="1">
      <c r="A905" s="95"/>
      <c r="B905" s="104"/>
      <c r="C905" s="97" t="str">
        <f>VLOOKUP(B905,Stock!$A$2:$B$133,2,0)</f>
        <v>#N/A</v>
      </c>
      <c r="D905" s="105"/>
      <c r="E905" s="106"/>
    </row>
    <row r="906" ht="15.75" customHeight="1">
      <c r="A906" s="95"/>
      <c r="B906" s="104"/>
      <c r="C906" s="97" t="str">
        <f>VLOOKUP(B906,Stock!$A$2:$B$133,2,0)</f>
        <v>#N/A</v>
      </c>
      <c r="D906" s="105"/>
      <c r="E906" s="106"/>
    </row>
    <row r="907" ht="15.75" customHeight="1">
      <c r="A907" s="95"/>
      <c r="B907" s="104"/>
      <c r="C907" s="97" t="str">
        <f>VLOOKUP(B907,Stock!$A$2:$B$133,2,0)</f>
        <v>#N/A</v>
      </c>
      <c r="D907" s="105"/>
      <c r="E907" s="106"/>
    </row>
    <row r="908" ht="15.75" customHeight="1">
      <c r="A908" s="95"/>
      <c r="B908" s="104"/>
      <c r="C908" s="97" t="str">
        <f>VLOOKUP(B908,Stock!$A$2:$B$133,2,0)</f>
        <v>#N/A</v>
      </c>
      <c r="D908" s="105"/>
      <c r="E908" s="106"/>
    </row>
    <row r="909" ht="15.75" customHeight="1">
      <c r="A909" s="95"/>
      <c r="B909" s="104"/>
      <c r="C909" s="97" t="str">
        <f>VLOOKUP(B909,Stock!$A$2:$B$133,2,0)</f>
        <v>#N/A</v>
      </c>
      <c r="D909" s="105"/>
      <c r="E909" s="106"/>
    </row>
    <row r="910" ht="15.75" customHeight="1">
      <c r="A910" s="95"/>
      <c r="B910" s="104"/>
      <c r="C910" s="97" t="str">
        <f>VLOOKUP(B910,Stock!$A$2:$B$133,2,0)</f>
        <v>#N/A</v>
      </c>
      <c r="D910" s="105"/>
      <c r="E910" s="106"/>
    </row>
    <row r="911" ht="15.75" customHeight="1">
      <c r="A911" s="95"/>
      <c r="B911" s="104"/>
      <c r="C911" s="97" t="str">
        <f>VLOOKUP(B911,Stock!$A$2:$B$133,2,0)</f>
        <v>#N/A</v>
      </c>
      <c r="D911" s="105"/>
      <c r="E911" s="106"/>
    </row>
    <row r="912" ht="15.75" customHeight="1">
      <c r="A912" s="95"/>
      <c r="B912" s="104"/>
      <c r="C912" s="97" t="str">
        <f>VLOOKUP(B912,Stock!$A$2:$B$133,2,0)</f>
        <v>#N/A</v>
      </c>
      <c r="D912" s="105"/>
      <c r="E912" s="106"/>
    </row>
    <row r="913" ht="15.75" customHeight="1">
      <c r="A913" s="95"/>
      <c r="B913" s="104"/>
      <c r="C913" s="97" t="str">
        <f>VLOOKUP(B913,Stock!$A$2:$B$133,2,0)</f>
        <v>#N/A</v>
      </c>
      <c r="D913" s="105"/>
      <c r="E913" s="106"/>
    </row>
    <row r="914" ht="15.75" customHeight="1">
      <c r="A914" s="95"/>
      <c r="B914" s="104"/>
      <c r="C914" s="97" t="str">
        <f>VLOOKUP(B914,Stock!$A$2:$B$133,2,0)</f>
        <v>#N/A</v>
      </c>
      <c r="D914" s="105"/>
      <c r="E914" s="106"/>
    </row>
    <row r="915" ht="15.75" customHeight="1">
      <c r="A915" s="95"/>
      <c r="B915" s="104"/>
      <c r="C915" s="97" t="str">
        <f>VLOOKUP(B915,Stock!$A$2:$B$133,2,0)</f>
        <v>#N/A</v>
      </c>
      <c r="D915" s="105"/>
      <c r="E915" s="106"/>
    </row>
    <row r="916" ht="15.75" customHeight="1">
      <c r="A916" s="95"/>
      <c r="B916" s="104"/>
      <c r="C916" s="97" t="str">
        <f>VLOOKUP(B916,Stock!$A$2:$B$133,2,0)</f>
        <v>#N/A</v>
      </c>
      <c r="D916" s="105"/>
      <c r="E916" s="106"/>
    </row>
    <row r="917" ht="15.75" customHeight="1">
      <c r="A917" s="95"/>
      <c r="B917" s="104"/>
      <c r="C917" s="97" t="str">
        <f>VLOOKUP(B917,Stock!$A$2:$B$133,2,0)</f>
        <v>#N/A</v>
      </c>
      <c r="D917" s="105"/>
      <c r="E917" s="106"/>
    </row>
    <row r="918" ht="15.75" customHeight="1">
      <c r="A918" s="95"/>
      <c r="B918" s="104"/>
      <c r="C918" s="97" t="str">
        <f>VLOOKUP(B918,Stock!$A$2:$B$133,2,0)</f>
        <v>#N/A</v>
      </c>
      <c r="D918" s="105"/>
      <c r="E918" s="106"/>
    </row>
    <row r="919" ht="15.75" customHeight="1">
      <c r="A919" s="95"/>
      <c r="B919" s="104"/>
      <c r="C919" s="97" t="str">
        <f>VLOOKUP(B919,Stock!$A$2:$B$133,2,0)</f>
        <v>#N/A</v>
      </c>
      <c r="D919" s="105"/>
      <c r="E919" s="106"/>
    </row>
    <row r="920" ht="15.75" customHeight="1">
      <c r="A920" s="95"/>
      <c r="B920" s="104"/>
      <c r="C920" s="97" t="str">
        <f>VLOOKUP(B920,Stock!$A$2:$B$133,2,0)</f>
        <v>#N/A</v>
      </c>
      <c r="D920" s="105"/>
      <c r="E920" s="106"/>
    </row>
    <row r="921" ht="15.75" customHeight="1">
      <c r="A921" s="95"/>
      <c r="B921" s="104"/>
      <c r="C921" s="97" t="str">
        <f>VLOOKUP(B921,Stock!$A$2:$B$133,2,0)</f>
        <v>#N/A</v>
      </c>
      <c r="D921" s="105"/>
      <c r="E921" s="106"/>
    </row>
    <row r="922" ht="15.75" customHeight="1">
      <c r="A922" s="95"/>
      <c r="B922" s="104"/>
      <c r="C922" s="97" t="str">
        <f>VLOOKUP(B922,Stock!$A$2:$B$133,2,0)</f>
        <v>#N/A</v>
      </c>
      <c r="D922" s="105"/>
      <c r="E922" s="106"/>
    </row>
    <row r="923" ht="15.75" customHeight="1">
      <c r="A923" s="95"/>
      <c r="B923" s="104"/>
      <c r="C923" s="97" t="str">
        <f>VLOOKUP(B923,Stock!$A$2:$B$133,2,0)</f>
        <v>#N/A</v>
      </c>
      <c r="D923" s="105"/>
      <c r="E923" s="106"/>
    </row>
    <row r="924" ht="15.75" customHeight="1">
      <c r="A924" s="95"/>
      <c r="B924" s="104"/>
      <c r="C924" s="97" t="str">
        <f>VLOOKUP(B924,Stock!$A$2:$B$133,2,0)</f>
        <v>#N/A</v>
      </c>
      <c r="D924" s="105"/>
      <c r="E924" s="106"/>
    </row>
    <row r="925" ht="15.75" customHeight="1">
      <c r="A925" s="95"/>
      <c r="B925" s="104"/>
      <c r="C925" s="97" t="str">
        <f>VLOOKUP(B925,Stock!$A$2:$B$133,2,0)</f>
        <v>#N/A</v>
      </c>
      <c r="D925" s="105"/>
      <c r="E925" s="106"/>
    </row>
    <row r="926" ht="15.75" customHeight="1">
      <c r="A926" s="95"/>
      <c r="B926" s="104"/>
      <c r="C926" s="97" t="str">
        <f>VLOOKUP(B926,Stock!$A$2:$B$133,2,0)</f>
        <v>#N/A</v>
      </c>
      <c r="D926" s="105"/>
      <c r="E926" s="106"/>
    </row>
    <row r="927" ht="15.75" customHeight="1">
      <c r="A927" s="95"/>
      <c r="B927" s="104"/>
      <c r="C927" s="97" t="str">
        <f>VLOOKUP(B927,Stock!$A$2:$B$133,2,0)</f>
        <v>#N/A</v>
      </c>
      <c r="D927" s="105"/>
      <c r="E927" s="106"/>
    </row>
    <row r="928" ht="15.75" customHeight="1">
      <c r="A928" s="95"/>
      <c r="B928" s="104"/>
      <c r="C928" s="97" t="str">
        <f>VLOOKUP(B928,Stock!$A$2:$B$133,2,0)</f>
        <v>#N/A</v>
      </c>
      <c r="D928" s="105"/>
      <c r="E928" s="106"/>
    </row>
    <row r="929" ht="15.75" customHeight="1">
      <c r="A929" s="95"/>
      <c r="B929" s="104"/>
      <c r="C929" s="97" t="str">
        <f>VLOOKUP(B929,Stock!$A$2:$B$133,2,0)</f>
        <v>#N/A</v>
      </c>
      <c r="D929" s="105"/>
      <c r="E929" s="106"/>
    </row>
    <row r="930" ht="15.75" customHeight="1">
      <c r="A930" s="95"/>
      <c r="B930" s="104"/>
      <c r="C930" s="97" t="str">
        <f>VLOOKUP(B930,Stock!$A$2:$B$133,2,0)</f>
        <v>#N/A</v>
      </c>
      <c r="D930" s="105"/>
      <c r="E930" s="106"/>
    </row>
    <row r="931" ht="15.75" customHeight="1">
      <c r="A931" s="95"/>
      <c r="B931" s="104"/>
      <c r="C931" s="97" t="str">
        <f>VLOOKUP(B931,Stock!$A$2:$B$133,2,0)</f>
        <v>#N/A</v>
      </c>
      <c r="D931" s="105"/>
      <c r="E931" s="106"/>
    </row>
    <row r="932" ht="15.75" customHeight="1">
      <c r="A932" s="95"/>
      <c r="B932" s="104"/>
      <c r="C932" s="97" t="str">
        <f>VLOOKUP(B932,Stock!$A$2:$B$133,2,0)</f>
        <v>#N/A</v>
      </c>
      <c r="D932" s="105"/>
      <c r="E932" s="106"/>
    </row>
    <row r="933" ht="15.75" customHeight="1">
      <c r="A933" s="95"/>
      <c r="B933" s="104"/>
      <c r="C933" s="97" t="str">
        <f>VLOOKUP(B933,Stock!$A$2:$B$133,2,0)</f>
        <v>#N/A</v>
      </c>
      <c r="D933" s="105"/>
      <c r="E933" s="106"/>
    </row>
    <row r="934" ht="15.75" customHeight="1">
      <c r="A934" s="95"/>
      <c r="B934" s="104"/>
      <c r="C934" s="97" t="str">
        <f>VLOOKUP(B934,Stock!$A$2:$B$133,2,0)</f>
        <v>#N/A</v>
      </c>
      <c r="D934" s="105"/>
      <c r="E934" s="106"/>
    </row>
    <row r="935" ht="15.75" customHeight="1">
      <c r="A935" s="95"/>
      <c r="B935" s="104"/>
      <c r="C935" s="97" t="str">
        <f>VLOOKUP(B935,Stock!$A$2:$B$133,2,0)</f>
        <v>#N/A</v>
      </c>
      <c r="D935" s="105"/>
      <c r="E935" s="106"/>
    </row>
    <row r="936" ht="15.75" customHeight="1">
      <c r="A936" s="95"/>
      <c r="B936" s="104"/>
      <c r="C936" s="97" t="str">
        <f>VLOOKUP(B936,Stock!$A$2:$B$133,2,0)</f>
        <v>#N/A</v>
      </c>
      <c r="D936" s="105"/>
      <c r="E936" s="106"/>
    </row>
    <row r="937" ht="15.75" customHeight="1">
      <c r="A937" s="95"/>
      <c r="B937" s="104"/>
      <c r="C937" s="97" t="str">
        <f>VLOOKUP(B937,Stock!$A$2:$B$133,2,0)</f>
        <v>#N/A</v>
      </c>
      <c r="D937" s="105"/>
      <c r="E937" s="106"/>
    </row>
    <row r="938" ht="15.75" customHeight="1">
      <c r="A938" s="95"/>
      <c r="B938" s="104"/>
      <c r="C938" s="97" t="str">
        <f>VLOOKUP(B938,Stock!$A$2:$B$133,2,0)</f>
        <v>#N/A</v>
      </c>
      <c r="D938" s="105"/>
      <c r="E938" s="106"/>
    </row>
    <row r="939" ht="15.75" customHeight="1">
      <c r="A939" s="95"/>
      <c r="B939" s="104"/>
      <c r="C939" s="97" t="str">
        <f>VLOOKUP(B939,Stock!$A$2:$B$133,2,0)</f>
        <v>#N/A</v>
      </c>
      <c r="D939" s="105"/>
      <c r="E939" s="106"/>
    </row>
    <row r="940" ht="15.75" customHeight="1">
      <c r="A940" s="95"/>
      <c r="B940" s="104"/>
      <c r="C940" s="97" t="str">
        <f>VLOOKUP(B940,Stock!$A$2:$B$133,2,0)</f>
        <v>#N/A</v>
      </c>
      <c r="D940" s="105"/>
      <c r="E940" s="106"/>
    </row>
    <row r="941" ht="15.75" customHeight="1">
      <c r="A941" s="95"/>
      <c r="B941" s="104"/>
      <c r="C941" s="97" t="str">
        <f>VLOOKUP(B941,Stock!$A$2:$B$133,2,0)</f>
        <v>#N/A</v>
      </c>
      <c r="D941" s="105"/>
      <c r="E941" s="106"/>
    </row>
    <row r="942" ht="15.75" customHeight="1">
      <c r="A942" s="95"/>
      <c r="B942" s="104"/>
      <c r="C942" s="97" t="str">
        <f>VLOOKUP(B942,Stock!$A$2:$B$133,2,0)</f>
        <v>#N/A</v>
      </c>
      <c r="D942" s="105"/>
      <c r="E942" s="106"/>
    </row>
    <row r="943" ht="15.75" customHeight="1">
      <c r="A943" s="95"/>
      <c r="B943" s="104"/>
      <c r="C943" s="97" t="str">
        <f>VLOOKUP(B943,Stock!$A$2:$B$133,2,0)</f>
        <v>#N/A</v>
      </c>
      <c r="D943" s="105"/>
      <c r="E943" s="106"/>
    </row>
    <row r="944" ht="15.75" customHeight="1">
      <c r="A944" s="95"/>
      <c r="B944" s="104"/>
      <c r="C944" s="97" t="str">
        <f>VLOOKUP(B944,Stock!$A$2:$B$133,2,0)</f>
        <v>#N/A</v>
      </c>
      <c r="D944" s="105"/>
      <c r="E944" s="106"/>
    </row>
    <row r="945" ht="15.75" customHeight="1">
      <c r="A945" s="95"/>
      <c r="B945" s="104"/>
      <c r="C945" s="97" t="str">
        <f>VLOOKUP(B945,Stock!$A$2:$B$133,2,0)</f>
        <v>#N/A</v>
      </c>
      <c r="D945" s="105"/>
      <c r="E945" s="106"/>
    </row>
    <row r="946" ht="15.75" customHeight="1">
      <c r="A946" s="95"/>
      <c r="B946" s="104"/>
      <c r="C946" s="97" t="str">
        <f>VLOOKUP(B946,Stock!$A$2:$B$133,2,0)</f>
        <v>#N/A</v>
      </c>
      <c r="D946" s="105"/>
      <c r="E946" s="106"/>
    </row>
    <row r="947" ht="15.75" customHeight="1">
      <c r="A947" s="95"/>
      <c r="B947" s="104"/>
      <c r="C947" s="97" t="str">
        <f>VLOOKUP(B947,Stock!$A$2:$B$133,2,0)</f>
        <v>#N/A</v>
      </c>
      <c r="D947" s="105"/>
      <c r="E947" s="106"/>
    </row>
    <row r="948" ht="15.75" customHeight="1">
      <c r="A948" s="95"/>
      <c r="B948" s="104"/>
      <c r="C948" s="97" t="str">
        <f>VLOOKUP(B948,Stock!$A$2:$B$133,2,0)</f>
        <v>#N/A</v>
      </c>
      <c r="D948" s="105"/>
      <c r="E948" s="106"/>
    </row>
    <row r="949" ht="15.75" customHeight="1">
      <c r="A949" s="95"/>
      <c r="B949" s="104"/>
      <c r="C949" s="97" t="str">
        <f>VLOOKUP(B949,Stock!$A$2:$B$133,2,0)</f>
        <v>#N/A</v>
      </c>
      <c r="D949" s="105"/>
      <c r="E949" s="106"/>
    </row>
    <row r="950" ht="15.75" customHeight="1">
      <c r="A950" s="95"/>
      <c r="B950" s="104"/>
      <c r="C950" s="97" t="str">
        <f>VLOOKUP(B950,Stock!$A$2:$B$133,2,0)</f>
        <v>#N/A</v>
      </c>
      <c r="D950" s="105"/>
      <c r="E950" s="106"/>
    </row>
    <row r="951" ht="15.75" customHeight="1">
      <c r="A951" s="95"/>
      <c r="B951" s="104"/>
      <c r="C951" s="97" t="str">
        <f>VLOOKUP(B951,Stock!$A$2:$B$133,2,0)</f>
        <v>#N/A</v>
      </c>
      <c r="D951" s="105"/>
      <c r="E951" s="106"/>
    </row>
    <row r="952" ht="15.75" customHeight="1">
      <c r="A952" s="95"/>
      <c r="B952" s="104"/>
      <c r="C952" s="97" t="str">
        <f>VLOOKUP(B952,Stock!$A$2:$B$133,2,0)</f>
        <v>#N/A</v>
      </c>
      <c r="D952" s="105"/>
      <c r="E952" s="106"/>
    </row>
    <row r="953" ht="15.75" customHeight="1">
      <c r="A953" s="95"/>
      <c r="B953" s="104"/>
      <c r="C953" s="97" t="str">
        <f>VLOOKUP(B953,Stock!$A$2:$B$133,2,0)</f>
        <v>#N/A</v>
      </c>
      <c r="D953" s="105"/>
      <c r="E953" s="106"/>
    </row>
    <row r="954" ht="15.75" customHeight="1">
      <c r="A954" s="95"/>
      <c r="B954" s="104"/>
      <c r="C954" s="97" t="str">
        <f>VLOOKUP(B954,Stock!$A$2:$B$133,2,0)</f>
        <v>#N/A</v>
      </c>
      <c r="D954" s="105"/>
      <c r="E954" s="106"/>
    </row>
    <row r="955" ht="15.75" customHeight="1">
      <c r="A955" s="95"/>
      <c r="B955" s="104"/>
      <c r="C955" s="97" t="str">
        <f>VLOOKUP(B955,Stock!$A$2:$B$133,2,0)</f>
        <v>#N/A</v>
      </c>
      <c r="D955" s="105"/>
      <c r="E955" s="106"/>
    </row>
    <row r="956" ht="15.75" customHeight="1">
      <c r="A956" s="95"/>
      <c r="B956" s="104"/>
      <c r="C956" s="97" t="str">
        <f>VLOOKUP(B956,Stock!$A$2:$B$133,2,0)</f>
        <v>#N/A</v>
      </c>
      <c r="D956" s="105"/>
      <c r="E956" s="106"/>
    </row>
    <row r="957" ht="15.75" customHeight="1">
      <c r="A957" s="95"/>
      <c r="B957" s="104"/>
      <c r="C957" s="97" t="str">
        <f>VLOOKUP(B957,Stock!$A$2:$B$133,2,0)</f>
        <v>#N/A</v>
      </c>
      <c r="D957" s="105"/>
      <c r="E957" s="106"/>
    </row>
    <row r="958" ht="15.75" customHeight="1">
      <c r="A958" s="95"/>
      <c r="B958" s="104"/>
      <c r="C958" s="97" t="str">
        <f>VLOOKUP(B958,Stock!$A$2:$B$133,2,0)</f>
        <v>#N/A</v>
      </c>
      <c r="D958" s="105"/>
      <c r="E958" s="106"/>
    </row>
    <row r="959" ht="15.75" customHeight="1">
      <c r="A959" s="95"/>
      <c r="B959" s="104"/>
      <c r="C959" s="97" t="str">
        <f>VLOOKUP(B959,Stock!$A$2:$B$133,2,0)</f>
        <v>#N/A</v>
      </c>
      <c r="D959" s="105"/>
      <c r="E959" s="106"/>
    </row>
    <row r="960" ht="15.75" customHeight="1">
      <c r="A960" s="95"/>
      <c r="B960" s="104"/>
      <c r="C960" s="97" t="str">
        <f>VLOOKUP(B960,Stock!$A$2:$B$133,2,0)</f>
        <v>#N/A</v>
      </c>
      <c r="D960" s="105"/>
      <c r="E960" s="106"/>
    </row>
    <row r="961" ht="15.75" customHeight="1">
      <c r="A961" s="95"/>
      <c r="B961" s="104"/>
      <c r="C961" s="97" t="str">
        <f>VLOOKUP(B961,Stock!$A$2:$B$133,2,0)</f>
        <v>#N/A</v>
      </c>
      <c r="D961" s="105"/>
      <c r="E961" s="106"/>
    </row>
    <row r="962" ht="15.75" customHeight="1">
      <c r="A962" s="95"/>
      <c r="B962" s="104"/>
      <c r="C962" s="97" t="str">
        <f>VLOOKUP(B962,Stock!$A$2:$B$133,2,0)</f>
        <v>#N/A</v>
      </c>
      <c r="D962" s="105"/>
      <c r="E962" s="106"/>
    </row>
    <row r="963" ht="15.75" customHeight="1">
      <c r="A963" s="95"/>
      <c r="B963" s="104"/>
      <c r="C963" s="97" t="str">
        <f>VLOOKUP(B963,Stock!$A$2:$B$133,2,0)</f>
        <v>#N/A</v>
      </c>
      <c r="D963" s="105"/>
      <c r="E963" s="106"/>
    </row>
    <row r="964" ht="15.75" customHeight="1">
      <c r="A964" s="95"/>
      <c r="B964" s="104"/>
      <c r="C964" s="97" t="str">
        <f>VLOOKUP(B964,Stock!$A$2:$B$133,2,0)</f>
        <v>#N/A</v>
      </c>
      <c r="D964" s="105"/>
      <c r="E964" s="106"/>
    </row>
    <row r="965" ht="15.75" customHeight="1">
      <c r="A965" s="95"/>
      <c r="B965" s="104"/>
      <c r="C965" s="97" t="str">
        <f>VLOOKUP(B965,Stock!$A$2:$B$133,2,0)</f>
        <v>#N/A</v>
      </c>
      <c r="D965" s="105"/>
      <c r="E965" s="106"/>
    </row>
    <row r="966" ht="15.75" customHeight="1">
      <c r="A966" s="95"/>
      <c r="B966" s="104"/>
      <c r="C966" s="97" t="str">
        <f>VLOOKUP(B966,Stock!$A$2:$B$133,2,0)</f>
        <v>#N/A</v>
      </c>
      <c r="D966" s="105"/>
      <c r="E966" s="106"/>
    </row>
    <row r="967" ht="15.75" customHeight="1">
      <c r="A967" s="95"/>
      <c r="B967" s="104"/>
      <c r="C967" s="97" t="str">
        <f>VLOOKUP(B967,Stock!$A$2:$B$133,2,0)</f>
        <v>#N/A</v>
      </c>
      <c r="D967" s="105"/>
      <c r="E967" s="106"/>
    </row>
    <row r="968" ht="15.75" customHeight="1">
      <c r="A968" s="95"/>
      <c r="B968" s="104"/>
      <c r="C968" s="97" t="str">
        <f>VLOOKUP(B968,Stock!$A$2:$B$133,2,0)</f>
        <v>#N/A</v>
      </c>
      <c r="D968" s="105"/>
      <c r="E968" s="106"/>
    </row>
    <row r="969" ht="15.75" customHeight="1">
      <c r="A969" s="95"/>
      <c r="B969" s="104"/>
      <c r="C969" s="97" t="str">
        <f>VLOOKUP(B969,Stock!$A$2:$B$133,2,0)</f>
        <v>#N/A</v>
      </c>
      <c r="D969" s="105"/>
      <c r="E969" s="106"/>
    </row>
    <row r="970" ht="15.75" customHeight="1">
      <c r="A970" s="95"/>
      <c r="B970" s="104"/>
      <c r="C970" s="97" t="str">
        <f>VLOOKUP(B970,Stock!$A$2:$B$133,2,0)</f>
        <v>#N/A</v>
      </c>
      <c r="D970" s="105"/>
      <c r="E970" s="106"/>
    </row>
    <row r="971" ht="15.75" customHeight="1">
      <c r="A971" s="95"/>
      <c r="B971" s="104"/>
      <c r="C971" s="97" t="str">
        <f>VLOOKUP(B971,Stock!$A$2:$B$133,2,0)</f>
        <v>#N/A</v>
      </c>
      <c r="D971" s="105"/>
      <c r="E971" s="106"/>
    </row>
    <row r="972" ht="15.75" customHeight="1">
      <c r="A972" s="95"/>
      <c r="B972" s="104"/>
      <c r="C972" s="97" t="str">
        <f>VLOOKUP(B972,Stock!$A$2:$B$133,2,0)</f>
        <v>#N/A</v>
      </c>
      <c r="D972" s="105"/>
      <c r="E972" s="106"/>
    </row>
    <row r="973" ht="15.75" customHeight="1">
      <c r="A973" s="95"/>
      <c r="B973" s="104"/>
      <c r="C973" s="97" t="str">
        <f>VLOOKUP(B973,Stock!$A$2:$B$133,2,0)</f>
        <v>#N/A</v>
      </c>
      <c r="D973" s="105"/>
      <c r="E973" s="106"/>
    </row>
    <row r="974" ht="15.75" customHeight="1">
      <c r="A974" s="95"/>
      <c r="B974" s="104"/>
      <c r="C974" s="97" t="str">
        <f>VLOOKUP(B974,Stock!$A$2:$B$133,2,0)</f>
        <v>#N/A</v>
      </c>
      <c r="D974" s="105"/>
      <c r="E974" s="106"/>
    </row>
    <row r="975" ht="15.75" customHeight="1">
      <c r="A975" s="95"/>
      <c r="B975" s="104"/>
      <c r="C975" s="97" t="str">
        <f>VLOOKUP(B975,Stock!$A$2:$B$133,2,0)</f>
        <v>#N/A</v>
      </c>
      <c r="D975" s="105"/>
      <c r="E975" s="106"/>
    </row>
    <row r="976" ht="15.75" customHeight="1">
      <c r="A976" s="95"/>
      <c r="B976" s="104"/>
      <c r="C976" s="97" t="str">
        <f>VLOOKUP(B976,Stock!$A$2:$B$133,2,0)</f>
        <v>#N/A</v>
      </c>
      <c r="D976" s="105"/>
      <c r="E976" s="106"/>
    </row>
    <row r="977" ht="15.75" customHeight="1">
      <c r="A977" s="95"/>
      <c r="B977" s="104"/>
      <c r="C977" s="97" t="str">
        <f>VLOOKUP(B977,Stock!$A$2:$B$133,2,0)</f>
        <v>#N/A</v>
      </c>
      <c r="D977" s="105"/>
      <c r="E977" s="106"/>
    </row>
    <row r="978" ht="15.75" customHeight="1">
      <c r="A978" s="95"/>
      <c r="B978" s="104"/>
      <c r="C978" s="97" t="str">
        <f>VLOOKUP(B978,Stock!$A$2:$B$133,2,0)</f>
        <v>#N/A</v>
      </c>
      <c r="D978" s="105"/>
      <c r="E978" s="106"/>
    </row>
    <row r="979" ht="15.75" customHeight="1">
      <c r="A979" s="95"/>
      <c r="B979" s="104"/>
      <c r="C979" s="97" t="str">
        <f>VLOOKUP(B979,Stock!$A$2:$B$133,2,0)</f>
        <v>#N/A</v>
      </c>
      <c r="D979" s="105"/>
      <c r="E979" s="106"/>
    </row>
    <row r="980" ht="15.75" customHeight="1">
      <c r="A980" s="95"/>
      <c r="B980" s="104"/>
      <c r="C980" s="97" t="str">
        <f>VLOOKUP(B980,Stock!$A$2:$B$133,2,0)</f>
        <v>#N/A</v>
      </c>
      <c r="D980" s="105"/>
      <c r="E980" s="106"/>
    </row>
    <row r="981" ht="15.75" customHeight="1">
      <c r="A981" s="95"/>
      <c r="B981" s="104"/>
      <c r="C981" s="97" t="str">
        <f>VLOOKUP(B981,Stock!$A$2:$B$133,2,0)</f>
        <v>#N/A</v>
      </c>
      <c r="D981" s="105"/>
      <c r="E981" s="106"/>
    </row>
    <row r="982" ht="15.75" customHeight="1">
      <c r="A982" s="95"/>
      <c r="B982" s="104"/>
      <c r="C982" s="97" t="str">
        <f>VLOOKUP(B982,Stock!$A$2:$B$133,2,0)</f>
        <v>#N/A</v>
      </c>
      <c r="D982" s="105"/>
      <c r="E982" s="106"/>
    </row>
    <row r="983" ht="15.75" customHeight="1">
      <c r="A983" s="95"/>
      <c r="B983" s="104"/>
      <c r="C983" s="97" t="str">
        <f>VLOOKUP(B983,Stock!$A$2:$B$133,2,0)</f>
        <v>#N/A</v>
      </c>
      <c r="D983" s="105"/>
      <c r="E983" s="106"/>
    </row>
    <row r="984" ht="15.75" customHeight="1">
      <c r="A984" s="95"/>
      <c r="B984" s="104"/>
      <c r="C984" s="97" t="str">
        <f>VLOOKUP(B984,Stock!$A$2:$B$133,2,0)</f>
        <v>#N/A</v>
      </c>
      <c r="D984" s="105"/>
      <c r="E984" s="106"/>
    </row>
    <row r="985" ht="15.75" customHeight="1">
      <c r="A985" s="95"/>
      <c r="B985" s="104"/>
      <c r="C985" s="97" t="str">
        <f>VLOOKUP(B985,Stock!$A$2:$B$133,2,0)</f>
        <v>#N/A</v>
      </c>
      <c r="D985" s="105"/>
      <c r="E985" s="106"/>
    </row>
    <row r="986" ht="15.75" customHeight="1">
      <c r="A986" s="95"/>
      <c r="B986" s="104"/>
      <c r="C986" s="97" t="str">
        <f>VLOOKUP(B986,Stock!$A$2:$B$133,2,0)</f>
        <v>#N/A</v>
      </c>
      <c r="D986" s="105"/>
      <c r="E986" s="106"/>
    </row>
    <row r="987" ht="15.75" customHeight="1">
      <c r="A987" s="95"/>
      <c r="B987" s="104"/>
      <c r="C987" s="97" t="str">
        <f>VLOOKUP(B987,Stock!$A$2:$B$133,2,0)</f>
        <v>#N/A</v>
      </c>
      <c r="D987" s="105"/>
      <c r="E987" s="106"/>
    </row>
    <row r="988" ht="15.75" customHeight="1">
      <c r="A988" s="95"/>
      <c r="B988" s="104"/>
      <c r="C988" s="97" t="str">
        <f>VLOOKUP(B988,Stock!$A$2:$B$133,2,0)</f>
        <v>#N/A</v>
      </c>
      <c r="D988" s="105"/>
      <c r="E988" s="106"/>
    </row>
    <row r="989" ht="15.75" customHeight="1">
      <c r="A989" s="95"/>
      <c r="B989" s="104"/>
      <c r="C989" s="97" t="str">
        <f>VLOOKUP(B989,Stock!$A$2:$B$133,2,0)</f>
        <v>#N/A</v>
      </c>
      <c r="D989" s="105"/>
      <c r="E989" s="106"/>
    </row>
    <row r="990" ht="15.75" customHeight="1">
      <c r="A990" s="95"/>
      <c r="B990" s="104"/>
      <c r="C990" s="97" t="str">
        <f>VLOOKUP(B990,Stock!$A$2:$B$133,2,0)</f>
        <v>#N/A</v>
      </c>
      <c r="D990" s="105"/>
      <c r="E990" s="106"/>
    </row>
    <row r="991" ht="15.75" customHeight="1">
      <c r="A991" s="95"/>
      <c r="B991" s="104"/>
      <c r="C991" s="97" t="str">
        <f>VLOOKUP(B991,Stock!$A$2:$B$133,2,0)</f>
        <v>#N/A</v>
      </c>
      <c r="D991" s="105"/>
      <c r="E991" s="106"/>
    </row>
    <row r="992" ht="15.75" customHeight="1">
      <c r="A992" s="95"/>
      <c r="B992" s="104"/>
      <c r="C992" s="97" t="str">
        <f>VLOOKUP(B992,Stock!$A$2:$B$133,2,0)</f>
        <v>#N/A</v>
      </c>
      <c r="D992" s="105"/>
      <c r="E992" s="106"/>
    </row>
    <row r="993" ht="15.75" customHeight="1">
      <c r="A993" s="95"/>
      <c r="B993" s="104"/>
      <c r="C993" s="97" t="str">
        <f>VLOOKUP(B993,Stock!$A$2:$B$133,2,0)</f>
        <v>#N/A</v>
      </c>
      <c r="D993" s="105"/>
      <c r="E993" s="106"/>
    </row>
    <row r="994" ht="15.75" customHeight="1">
      <c r="A994" s="95"/>
      <c r="B994" s="104"/>
      <c r="C994" s="97" t="str">
        <f>VLOOKUP(B994,Stock!$A$2:$B$133,2,0)</f>
        <v>#N/A</v>
      </c>
      <c r="D994" s="105"/>
      <c r="E994" s="106"/>
    </row>
    <row r="995" ht="15.75" customHeight="1">
      <c r="A995" s="95"/>
      <c r="B995" s="104"/>
      <c r="C995" s="97" t="str">
        <f>VLOOKUP(B995,Stock!$A$2:$B$133,2,0)</f>
        <v>#N/A</v>
      </c>
      <c r="D995" s="105"/>
      <c r="E995" s="106"/>
    </row>
    <row r="996" ht="15.75" customHeight="1">
      <c r="A996" s="95"/>
      <c r="B996" s="104"/>
      <c r="C996" s="97" t="str">
        <f>VLOOKUP(B996,Stock!$A$2:$B$133,2,0)</f>
        <v>#N/A</v>
      </c>
      <c r="D996" s="105"/>
      <c r="E996" s="106"/>
    </row>
    <row r="997" ht="15.75" customHeight="1">
      <c r="A997" s="95"/>
      <c r="B997" s="104"/>
      <c r="C997" s="97" t="str">
        <f>VLOOKUP(B997,Stock!$A$2:$B$133,2,0)</f>
        <v>#N/A</v>
      </c>
      <c r="D997" s="105"/>
      <c r="E997" s="106"/>
    </row>
    <row r="998" ht="15.75" customHeight="1">
      <c r="A998" s="95"/>
      <c r="B998" s="104"/>
      <c r="C998" s="97" t="str">
        <f>VLOOKUP(B998,Stock!$A$2:$B$133,2,0)</f>
        <v>#N/A</v>
      </c>
      <c r="D998" s="105"/>
      <c r="E998" s="106"/>
    </row>
    <row r="999" ht="15.75" customHeight="1">
      <c r="A999" s="95"/>
      <c r="B999" s="104"/>
      <c r="C999" s="97" t="str">
        <f>VLOOKUP(B999,Stock!$A$2:$B$133,2,0)</f>
        <v>#N/A</v>
      </c>
      <c r="D999" s="105"/>
      <c r="E999" s="106"/>
    </row>
    <row r="1000" ht="15.75" customHeight="1">
      <c r="A1000" s="95"/>
      <c r="B1000" s="104"/>
      <c r="C1000" s="97" t="str">
        <f>VLOOKUP(B1000,Stock!$A$2:$B$133,2,0)</f>
        <v>#N/A</v>
      </c>
      <c r="D1000" s="105"/>
      <c r="E1000" s="106"/>
    </row>
    <row r="1001" ht="15.75" customHeight="1">
      <c r="A1001" s="95"/>
      <c r="B1001" s="104"/>
      <c r="C1001" s="97" t="str">
        <f>VLOOKUP(B1001,Stock!$A$2:$B$133,2,0)</f>
        <v>#N/A</v>
      </c>
      <c r="D1001" s="105"/>
      <c r="E1001" s="106"/>
    </row>
    <row r="1002" ht="15.75" customHeight="1">
      <c r="A1002" s="95"/>
      <c r="B1002" s="104"/>
      <c r="C1002" s="97" t="str">
        <f>VLOOKUP(B1002,Stock!$A$2:$B$133,2,0)</f>
        <v>#N/A</v>
      </c>
      <c r="D1002" s="105"/>
      <c r="E1002" s="106"/>
    </row>
    <row r="1003" ht="15.75" customHeight="1">
      <c r="A1003" s="95"/>
      <c r="B1003" s="104"/>
      <c r="C1003" s="97" t="str">
        <f>VLOOKUP(B1003,Stock!$A$2:$B$133,2,0)</f>
        <v>#N/A</v>
      </c>
      <c r="D1003" s="105"/>
      <c r="E1003" s="106"/>
    </row>
    <row r="1004" ht="15.75" customHeight="1">
      <c r="A1004" s="95"/>
      <c r="B1004" s="104"/>
      <c r="C1004" s="97" t="str">
        <f>VLOOKUP(B1004,Stock!$A$2:$B$133,2,0)</f>
        <v>#N/A</v>
      </c>
      <c r="D1004" s="105"/>
      <c r="E1004" s="106"/>
    </row>
    <row r="1005" ht="15.75" customHeight="1">
      <c r="A1005" s="95"/>
      <c r="B1005" s="104"/>
      <c r="C1005" s="97" t="str">
        <f>VLOOKUP(B1005,Stock!$A$2:$B$133,2,0)</f>
        <v>#N/A</v>
      </c>
      <c r="D1005" s="105"/>
      <c r="E1005" s="106"/>
    </row>
    <row r="1006" ht="15.75" customHeight="1">
      <c r="A1006" s="95"/>
      <c r="B1006" s="104"/>
      <c r="C1006" s="97" t="str">
        <f>VLOOKUP(B1006,Stock!$A$2:$B$133,2,0)</f>
        <v>#N/A</v>
      </c>
      <c r="D1006" s="105"/>
      <c r="E1006" s="106"/>
    </row>
    <row r="1007" ht="15.75" customHeight="1">
      <c r="A1007" s="95"/>
      <c r="B1007" s="104"/>
      <c r="C1007" s="97" t="str">
        <f>VLOOKUP(B1007,Stock!$A$2:$B$133,2,0)</f>
        <v>#N/A</v>
      </c>
      <c r="D1007" s="105"/>
      <c r="E1007" s="106"/>
    </row>
    <row r="1008" ht="15.75" customHeight="1">
      <c r="A1008" s="95"/>
      <c r="B1008" s="104"/>
      <c r="C1008" s="97" t="str">
        <f>VLOOKUP(B1008,Stock!$A$2:$B$133,2,0)</f>
        <v>#N/A</v>
      </c>
      <c r="D1008" s="105"/>
      <c r="E1008" s="106"/>
    </row>
    <row r="1009" ht="15.75" customHeight="1">
      <c r="A1009" s="95"/>
      <c r="B1009" s="104"/>
      <c r="C1009" s="97" t="str">
        <f>VLOOKUP(B1009,Stock!$A$2:$B$133,2,0)</f>
        <v>#N/A</v>
      </c>
      <c r="D1009" s="105"/>
      <c r="E1009" s="106"/>
    </row>
    <row r="1010" ht="15.75" customHeight="1">
      <c r="A1010" s="95"/>
      <c r="B1010" s="104"/>
      <c r="C1010" s="97" t="str">
        <f>VLOOKUP(B1010,Stock!$A$2:$B$133,2,0)</f>
        <v>#N/A</v>
      </c>
      <c r="D1010" s="105"/>
      <c r="E1010" s="106"/>
    </row>
    <row r="1011" ht="15.75" customHeight="1">
      <c r="A1011" s="95"/>
      <c r="B1011" s="104"/>
      <c r="C1011" s="97" t="str">
        <f>VLOOKUP(B1011,Stock!$A$2:$B$133,2,0)</f>
        <v>#N/A</v>
      </c>
      <c r="D1011" s="105"/>
      <c r="E1011" s="106"/>
    </row>
    <row r="1012" ht="15.75" customHeight="1">
      <c r="A1012" s="95"/>
      <c r="B1012" s="104"/>
      <c r="C1012" s="97" t="str">
        <f>VLOOKUP(B1012,Stock!$A$2:$B$133,2,0)</f>
        <v>#N/A</v>
      </c>
      <c r="D1012" s="105"/>
      <c r="E1012" s="106"/>
    </row>
    <row r="1013" ht="15.75" customHeight="1">
      <c r="A1013" s="95"/>
      <c r="B1013" s="104"/>
      <c r="C1013" s="97" t="str">
        <f>VLOOKUP(B1013,Stock!$A$2:$B$133,2,0)</f>
        <v>#N/A</v>
      </c>
      <c r="D1013" s="105"/>
      <c r="E1013" s="106"/>
    </row>
    <row r="1014" ht="15.75" customHeight="1">
      <c r="A1014" s="95"/>
      <c r="B1014" s="104"/>
      <c r="C1014" s="97" t="str">
        <f>VLOOKUP(B1014,Stock!$A$2:$B$133,2,0)</f>
        <v>#N/A</v>
      </c>
      <c r="D1014" s="105"/>
      <c r="E1014" s="106"/>
    </row>
    <row r="1015" ht="15.75" customHeight="1">
      <c r="A1015" s="95"/>
      <c r="B1015" s="104"/>
      <c r="C1015" s="97" t="str">
        <f>VLOOKUP(B1015,Stock!$A$2:$B$133,2,0)</f>
        <v>#N/A</v>
      </c>
      <c r="D1015" s="105"/>
      <c r="E1015" s="106"/>
    </row>
    <row r="1016" ht="15.75" customHeight="1">
      <c r="A1016" s="95"/>
      <c r="B1016" s="104"/>
      <c r="C1016" s="97" t="str">
        <f>VLOOKUP(B1016,Stock!$A$2:$B$133,2,0)</f>
        <v>#N/A</v>
      </c>
      <c r="D1016" s="105"/>
      <c r="E1016" s="106"/>
    </row>
    <row r="1017" ht="15.75" customHeight="1">
      <c r="A1017" s="95"/>
      <c r="B1017" s="104"/>
      <c r="C1017" s="97" t="str">
        <f>VLOOKUP(B1017,Stock!$A$2:$B$133,2,0)</f>
        <v>#N/A</v>
      </c>
      <c r="D1017" s="105"/>
      <c r="E1017" s="106"/>
    </row>
    <row r="1018" ht="15.75" customHeight="1">
      <c r="A1018" s="95"/>
      <c r="B1018" s="104"/>
      <c r="C1018" s="97" t="str">
        <f>VLOOKUP(B1018,Stock!$A$2:$B$133,2,0)</f>
        <v>#N/A</v>
      </c>
      <c r="D1018" s="105"/>
      <c r="E1018" s="106"/>
    </row>
    <row r="1019" ht="15.75" customHeight="1">
      <c r="A1019" s="95"/>
      <c r="B1019" s="104"/>
      <c r="C1019" s="97" t="str">
        <f>VLOOKUP(B1019,Stock!$A$2:$B$133,2,0)</f>
        <v>#N/A</v>
      </c>
      <c r="D1019" s="105"/>
      <c r="E1019" s="106"/>
    </row>
    <row r="1020" ht="15.75" customHeight="1">
      <c r="A1020" s="95"/>
      <c r="B1020" s="104"/>
      <c r="C1020" s="97" t="str">
        <f>VLOOKUP(B1020,Stock!$A$2:$B$133,2,0)</f>
        <v>#N/A</v>
      </c>
      <c r="D1020" s="105"/>
      <c r="E1020" s="106"/>
    </row>
    <row r="1021" ht="15.75" customHeight="1">
      <c r="A1021" s="95"/>
      <c r="B1021" s="104"/>
      <c r="C1021" s="97" t="str">
        <f>VLOOKUP(B1021,Stock!$A$2:$B$133,2,0)</f>
        <v>#N/A</v>
      </c>
      <c r="D1021" s="105"/>
      <c r="E1021" s="106"/>
    </row>
    <row r="1022" ht="15.75" customHeight="1">
      <c r="A1022" s="95"/>
      <c r="B1022" s="104"/>
      <c r="C1022" s="97" t="str">
        <f>VLOOKUP(B1022,Stock!$A$2:$B$133,2,0)</f>
        <v>#N/A</v>
      </c>
      <c r="D1022" s="105"/>
      <c r="E1022" s="106"/>
    </row>
    <row r="1023" ht="15.75" customHeight="1">
      <c r="A1023" s="95"/>
      <c r="B1023" s="104"/>
      <c r="C1023" s="97" t="str">
        <f>VLOOKUP(B1023,Stock!$A$2:$B$133,2,0)</f>
        <v>#N/A</v>
      </c>
      <c r="D1023" s="105"/>
      <c r="E1023" s="106"/>
    </row>
    <row r="1024" ht="15.75" customHeight="1">
      <c r="A1024" s="95"/>
      <c r="B1024" s="104"/>
      <c r="C1024" s="97" t="str">
        <f>VLOOKUP(B1024,Stock!$A$2:$B$133,2,0)</f>
        <v>#N/A</v>
      </c>
      <c r="D1024" s="105"/>
      <c r="E1024" s="106"/>
    </row>
    <row r="1025" ht="15.75" customHeight="1">
      <c r="A1025" s="95"/>
      <c r="B1025" s="104"/>
      <c r="C1025" s="97" t="str">
        <f>VLOOKUP(B1025,Stock!$A$2:$B$133,2,0)</f>
        <v>#N/A</v>
      </c>
      <c r="D1025" s="105"/>
      <c r="E1025" s="106"/>
    </row>
    <row r="1026" ht="15.75" customHeight="1">
      <c r="A1026" s="95"/>
      <c r="B1026" s="104"/>
      <c r="C1026" s="97" t="str">
        <f>VLOOKUP(B1026,Stock!$A$2:$B$133,2,0)</f>
        <v>#N/A</v>
      </c>
      <c r="D1026" s="105"/>
      <c r="E1026" s="106"/>
    </row>
    <row r="1027" ht="15.75" customHeight="1">
      <c r="A1027" s="95"/>
      <c r="B1027" s="104"/>
      <c r="C1027" s="97" t="str">
        <f>VLOOKUP(B1027,Stock!$A$2:$B$133,2,0)</f>
        <v>#N/A</v>
      </c>
      <c r="D1027" s="105"/>
      <c r="E1027" s="106"/>
    </row>
    <row r="1028" ht="15.75" customHeight="1">
      <c r="A1028" s="95"/>
      <c r="B1028" s="104"/>
      <c r="C1028" s="97" t="str">
        <f>VLOOKUP(B1028,Stock!$A$2:$B$133,2,0)</f>
        <v>#N/A</v>
      </c>
      <c r="D1028" s="105"/>
      <c r="E1028" s="106"/>
    </row>
    <row r="1029" ht="15.75" customHeight="1">
      <c r="A1029" s="95"/>
      <c r="B1029" s="104"/>
      <c r="C1029" s="97" t="str">
        <f>VLOOKUP(B1029,Stock!$A$2:$B$133,2,0)</f>
        <v>#N/A</v>
      </c>
      <c r="D1029" s="105"/>
      <c r="E1029" s="106"/>
    </row>
    <row r="1030" ht="15.75" customHeight="1">
      <c r="A1030" s="95"/>
      <c r="B1030" s="104"/>
      <c r="C1030" s="97" t="str">
        <f>VLOOKUP(B1030,Stock!$A$2:$B$133,2,0)</f>
        <v>#N/A</v>
      </c>
      <c r="D1030" s="105"/>
      <c r="E1030" s="106"/>
    </row>
    <row r="1031" ht="15.75" customHeight="1">
      <c r="A1031" s="95"/>
      <c r="B1031" s="104"/>
      <c r="C1031" s="97" t="str">
        <f>VLOOKUP(B1031,Stock!$A$2:$B$133,2,0)</f>
        <v>#N/A</v>
      </c>
      <c r="D1031" s="105"/>
      <c r="E1031" s="106"/>
    </row>
    <row r="1032" ht="15.75" customHeight="1">
      <c r="A1032" s="95"/>
      <c r="B1032" s="104"/>
      <c r="C1032" s="97" t="str">
        <f>VLOOKUP(B1032,Stock!$A$2:$B$133,2,0)</f>
        <v>#N/A</v>
      </c>
      <c r="D1032" s="105"/>
      <c r="E1032" s="106"/>
    </row>
    <row r="1033" ht="15.75" customHeight="1">
      <c r="A1033" s="95"/>
      <c r="B1033" s="104"/>
      <c r="C1033" s="97" t="str">
        <f>VLOOKUP(B1033,Stock!$A$2:$B$133,2,0)</f>
        <v>#N/A</v>
      </c>
      <c r="D1033" s="105"/>
      <c r="E1033" s="106"/>
    </row>
    <row r="1034" ht="15.75" customHeight="1">
      <c r="A1034" s="95"/>
      <c r="B1034" s="104"/>
      <c r="C1034" s="97" t="str">
        <f>VLOOKUP(B1034,Stock!$A$2:$B$133,2,0)</f>
        <v>#N/A</v>
      </c>
      <c r="D1034" s="105"/>
      <c r="E1034" s="106"/>
    </row>
    <row r="1035" ht="15.75" customHeight="1">
      <c r="A1035" s="95"/>
      <c r="B1035" s="104"/>
      <c r="C1035" s="97" t="str">
        <f>VLOOKUP(B1035,Stock!$A$2:$B$133,2,0)</f>
        <v>#N/A</v>
      </c>
      <c r="D1035" s="105"/>
      <c r="E1035" s="106"/>
    </row>
    <row r="1036" ht="15.75" customHeight="1">
      <c r="A1036" s="95"/>
      <c r="B1036" s="104"/>
      <c r="C1036" s="97" t="str">
        <f>VLOOKUP(B1036,Stock!$A$2:$B$133,2,0)</f>
        <v>#N/A</v>
      </c>
      <c r="D1036" s="105"/>
      <c r="E1036" s="106"/>
    </row>
    <row r="1037" ht="15.75" customHeight="1">
      <c r="A1037" s="95"/>
      <c r="B1037" s="104"/>
      <c r="C1037" s="97" t="str">
        <f>VLOOKUP(B1037,Stock!$A$2:$B$133,2,0)</f>
        <v>#N/A</v>
      </c>
      <c r="D1037" s="105"/>
      <c r="E1037" s="106"/>
    </row>
    <row r="1038" ht="15.75" customHeight="1">
      <c r="A1038" s="95"/>
      <c r="B1038" s="104"/>
      <c r="C1038" s="97" t="str">
        <f>VLOOKUP(B1038,Stock!$A$2:$B$133,2,0)</f>
        <v>#N/A</v>
      </c>
      <c r="D1038" s="105"/>
      <c r="E1038" s="106"/>
    </row>
    <row r="1039" ht="15.75" customHeight="1">
      <c r="A1039" s="95"/>
      <c r="B1039" s="104"/>
      <c r="C1039" s="97" t="str">
        <f>VLOOKUP(B1039,Stock!$A$2:$B$133,2,0)</f>
        <v>#N/A</v>
      </c>
      <c r="D1039" s="105"/>
      <c r="E1039" s="106"/>
    </row>
    <row r="1040" ht="15.75" customHeight="1">
      <c r="A1040" s="95"/>
      <c r="B1040" s="104"/>
      <c r="C1040" s="97" t="str">
        <f>VLOOKUP(B1040,Stock!$A$2:$B$133,2,0)</f>
        <v>#N/A</v>
      </c>
      <c r="D1040" s="105"/>
      <c r="E1040" s="106"/>
    </row>
    <row r="1041" ht="15.75" customHeight="1">
      <c r="A1041" s="95"/>
      <c r="B1041" s="104"/>
      <c r="C1041" s="97" t="str">
        <f>VLOOKUP(B1041,Stock!$A$2:$B$133,2,0)</f>
        <v>#N/A</v>
      </c>
      <c r="D1041" s="105"/>
      <c r="E1041" s="106"/>
    </row>
    <row r="1042" ht="15.75" customHeight="1">
      <c r="A1042" s="95"/>
      <c r="B1042" s="104"/>
      <c r="C1042" s="97" t="str">
        <f>VLOOKUP(B1042,Stock!$A$2:$B$133,2,0)</f>
        <v>#N/A</v>
      </c>
      <c r="D1042" s="105"/>
      <c r="E1042" s="106"/>
    </row>
    <row r="1043" ht="15.75" customHeight="1">
      <c r="A1043" s="95"/>
      <c r="B1043" s="104"/>
      <c r="C1043" s="97" t="str">
        <f>VLOOKUP(B1043,Stock!$A$2:$B$133,2,0)</f>
        <v>#N/A</v>
      </c>
      <c r="D1043" s="105"/>
      <c r="E1043" s="106"/>
    </row>
    <row r="1044" ht="15.75" customHeight="1">
      <c r="A1044" s="95"/>
      <c r="B1044" s="104"/>
      <c r="C1044" s="97" t="str">
        <f>VLOOKUP(B1044,Stock!$A$2:$B$133,2,0)</f>
        <v>#N/A</v>
      </c>
      <c r="D1044" s="105"/>
      <c r="E1044" s="106"/>
    </row>
    <row r="1045" ht="15.75" customHeight="1">
      <c r="A1045" s="95"/>
      <c r="B1045" s="104"/>
      <c r="C1045" s="97" t="str">
        <f>VLOOKUP(B1045,Stock!$A$2:$B$133,2,0)</f>
        <v>#N/A</v>
      </c>
      <c r="D1045" s="105"/>
      <c r="E1045" s="106"/>
    </row>
    <row r="1046" ht="15.75" customHeight="1">
      <c r="A1046" s="95"/>
      <c r="B1046" s="104"/>
      <c r="C1046" s="97" t="str">
        <f>VLOOKUP(B1046,Stock!$A$2:$B$133,2,0)</f>
        <v>#N/A</v>
      </c>
      <c r="D1046" s="105"/>
      <c r="E1046" s="106"/>
    </row>
    <row r="1047" ht="15.75" customHeight="1">
      <c r="A1047" s="95"/>
      <c r="B1047" s="104"/>
      <c r="C1047" s="97" t="str">
        <f>VLOOKUP(B1047,Stock!$A$2:$B$133,2,0)</f>
        <v>#N/A</v>
      </c>
      <c r="D1047" s="105"/>
      <c r="E1047" s="106"/>
    </row>
    <row r="1048" ht="15.75" customHeight="1">
      <c r="A1048" s="95"/>
      <c r="B1048" s="104"/>
      <c r="C1048" s="97" t="str">
        <f>VLOOKUP(B1048,Stock!$A$2:$B$133,2,0)</f>
        <v>#N/A</v>
      </c>
      <c r="D1048" s="105"/>
      <c r="E1048" s="106"/>
    </row>
    <row r="1049" ht="15.75" customHeight="1">
      <c r="A1049" s="95"/>
      <c r="B1049" s="104"/>
      <c r="C1049" s="97" t="str">
        <f>VLOOKUP(B1049,Stock!$A$2:$B$133,2,0)</f>
        <v>#N/A</v>
      </c>
      <c r="D1049" s="105"/>
      <c r="E1049" s="106"/>
    </row>
    <row r="1050" ht="15.75" customHeight="1">
      <c r="A1050" s="95"/>
      <c r="B1050" s="104"/>
      <c r="C1050" s="97" t="str">
        <f>VLOOKUP(B1050,Stock!$A$2:$B$133,2,0)</f>
        <v>#N/A</v>
      </c>
      <c r="D1050" s="105"/>
      <c r="E1050" s="106"/>
    </row>
    <row r="1051" ht="15.75" customHeight="1">
      <c r="A1051" s="95"/>
      <c r="B1051" s="104"/>
      <c r="C1051" s="97" t="str">
        <f>VLOOKUP(B1051,Stock!$A$2:$B$133,2,0)</f>
        <v>#N/A</v>
      </c>
      <c r="D1051" s="105"/>
      <c r="E1051" s="106"/>
    </row>
    <row r="1052" ht="15.75" customHeight="1">
      <c r="A1052" s="95"/>
      <c r="B1052" s="104"/>
      <c r="C1052" s="97" t="str">
        <f>VLOOKUP(B1052,Stock!$A$2:$B$133,2,0)</f>
        <v>#N/A</v>
      </c>
      <c r="D1052" s="105"/>
      <c r="E1052" s="106"/>
    </row>
    <row r="1053" ht="15.75" customHeight="1">
      <c r="A1053" s="95"/>
      <c r="B1053" s="104"/>
      <c r="C1053" s="97" t="str">
        <f>VLOOKUP(B1053,Stock!$A$2:$B$133,2,0)</f>
        <v>#N/A</v>
      </c>
      <c r="D1053" s="105"/>
      <c r="E1053" s="106"/>
    </row>
    <row r="1054" ht="15.75" customHeight="1">
      <c r="A1054" s="95"/>
      <c r="B1054" s="104"/>
      <c r="C1054" s="97" t="str">
        <f>VLOOKUP(B1054,Stock!$A$2:$B$133,2,0)</f>
        <v>#N/A</v>
      </c>
      <c r="D1054" s="105"/>
      <c r="E1054" s="106"/>
    </row>
    <row r="1055" ht="15.75" customHeight="1">
      <c r="A1055" s="95"/>
      <c r="B1055" s="104"/>
      <c r="C1055" s="97" t="str">
        <f>VLOOKUP(B1055,Stock!$A$2:$B$133,2,0)</f>
        <v>#N/A</v>
      </c>
      <c r="D1055" s="105"/>
      <c r="E1055" s="106"/>
    </row>
    <row r="1056" ht="15.75" customHeight="1">
      <c r="A1056" s="95"/>
      <c r="B1056" s="104"/>
      <c r="C1056" s="97" t="str">
        <f>VLOOKUP(B1056,Stock!$A$2:$B$133,2,0)</f>
        <v>#N/A</v>
      </c>
      <c r="D1056" s="105"/>
      <c r="E1056" s="106"/>
    </row>
    <row r="1057" ht="15.75" customHeight="1">
      <c r="A1057" s="95"/>
      <c r="B1057" s="104"/>
      <c r="C1057" s="97" t="str">
        <f>VLOOKUP(B1057,Stock!$A$2:$B$133,2,0)</f>
        <v>#N/A</v>
      </c>
      <c r="D1057" s="105"/>
      <c r="E1057" s="106"/>
    </row>
    <row r="1058" ht="15.75" customHeight="1">
      <c r="A1058" s="95"/>
      <c r="B1058" s="104"/>
      <c r="C1058" s="97" t="str">
        <f>VLOOKUP(B1058,Stock!$A$2:$B$133,2,0)</f>
        <v>#N/A</v>
      </c>
      <c r="D1058" s="105"/>
      <c r="E1058" s="106"/>
    </row>
    <row r="1059" ht="15.75" customHeight="1">
      <c r="A1059" s="95"/>
      <c r="B1059" s="104"/>
      <c r="C1059" s="97" t="str">
        <f>VLOOKUP(B1059,Stock!$A$2:$B$133,2,0)</f>
        <v>#N/A</v>
      </c>
      <c r="D1059" s="105"/>
      <c r="E1059" s="106"/>
    </row>
    <row r="1060" ht="15.75" customHeight="1">
      <c r="A1060" s="95"/>
      <c r="B1060" s="104"/>
      <c r="C1060" s="97" t="str">
        <f>VLOOKUP(B1060,Stock!$A$2:$B$133,2,0)</f>
        <v>#N/A</v>
      </c>
      <c r="D1060" s="105"/>
      <c r="E1060" s="106"/>
    </row>
    <row r="1061" ht="15.75" customHeight="1">
      <c r="A1061" s="95"/>
      <c r="B1061" s="104"/>
      <c r="C1061" s="97" t="str">
        <f>VLOOKUP(B1061,Stock!$A$2:$B$133,2,0)</f>
        <v>#N/A</v>
      </c>
      <c r="D1061" s="105"/>
      <c r="E1061" s="106"/>
    </row>
    <row r="1062" ht="15.75" customHeight="1">
      <c r="A1062" s="95"/>
      <c r="B1062" s="104"/>
      <c r="C1062" s="97" t="str">
        <f>VLOOKUP(B1062,Stock!$A$2:$B$133,2,0)</f>
        <v>#N/A</v>
      </c>
      <c r="D1062" s="105"/>
      <c r="E1062" s="106"/>
    </row>
    <row r="1063" ht="15.75" customHeight="1">
      <c r="A1063" s="95"/>
      <c r="B1063" s="104"/>
      <c r="C1063" s="97" t="str">
        <f>VLOOKUP(B1063,Stock!$A$2:$B$133,2,0)</f>
        <v>#N/A</v>
      </c>
      <c r="D1063" s="105"/>
      <c r="E1063" s="106"/>
    </row>
    <row r="1064" ht="15.75" customHeight="1">
      <c r="A1064" s="95"/>
      <c r="B1064" s="104"/>
      <c r="C1064" s="97" t="str">
        <f>VLOOKUP(B1064,Stock!$A$2:$B$133,2,0)</f>
        <v>#N/A</v>
      </c>
      <c r="D1064" s="105"/>
      <c r="E1064" s="106"/>
    </row>
    <row r="1065" ht="15.75" customHeight="1">
      <c r="A1065" s="95"/>
      <c r="B1065" s="104"/>
      <c r="C1065" s="97" t="str">
        <f>VLOOKUP(B1065,Stock!$A$2:$B$133,2,0)</f>
        <v>#N/A</v>
      </c>
      <c r="D1065" s="105"/>
      <c r="E1065" s="106"/>
    </row>
    <row r="1066" ht="15.75" customHeight="1">
      <c r="A1066" s="95"/>
      <c r="B1066" s="104"/>
      <c r="C1066" s="97" t="str">
        <f>VLOOKUP(B1066,Stock!$A$2:$B$133,2,0)</f>
        <v>#N/A</v>
      </c>
      <c r="D1066" s="105"/>
      <c r="E1066" s="106"/>
    </row>
    <row r="1067" ht="15.75" customHeight="1">
      <c r="A1067" s="95"/>
      <c r="B1067" s="104"/>
      <c r="C1067" s="97" t="str">
        <f>VLOOKUP(B1067,Stock!$A$2:$B$133,2,0)</f>
        <v>#N/A</v>
      </c>
      <c r="D1067" s="105"/>
      <c r="E1067" s="106"/>
    </row>
    <row r="1068" ht="15.75" customHeight="1">
      <c r="A1068" s="95"/>
      <c r="B1068" s="104"/>
      <c r="C1068" s="97" t="str">
        <f>VLOOKUP(B1068,Stock!$A$2:$B$133,2,0)</f>
        <v>#N/A</v>
      </c>
      <c r="D1068" s="105"/>
      <c r="E1068" s="106"/>
    </row>
    <row r="1069" ht="15.75" customHeight="1">
      <c r="A1069" s="95"/>
      <c r="B1069" s="104"/>
      <c r="C1069" s="97" t="str">
        <f>VLOOKUP(B1069,Stock!$A$2:$B$133,2,0)</f>
        <v>#N/A</v>
      </c>
      <c r="D1069" s="105"/>
      <c r="E1069" s="106"/>
    </row>
    <row r="1070" ht="15.75" customHeight="1">
      <c r="A1070" s="95"/>
      <c r="B1070" s="104"/>
      <c r="C1070" s="97" t="str">
        <f>VLOOKUP(B1070,Stock!$A$2:$B$133,2,0)</f>
        <v>#N/A</v>
      </c>
      <c r="D1070" s="105"/>
      <c r="E1070" s="106"/>
    </row>
    <row r="1071" ht="15.75" customHeight="1">
      <c r="A1071" s="95"/>
      <c r="B1071" s="104"/>
      <c r="C1071" s="97" t="str">
        <f>VLOOKUP(B1071,Stock!$A$2:$B$133,2,0)</f>
        <v>#N/A</v>
      </c>
      <c r="D1071" s="105"/>
      <c r="E1071" s="106"/>
    </row>
    <row r="1072" ht="15.75" customHeight="1">
      <c r="A1072" s="95"/>
      <c r="B1072" s="104"/>
      <c r="C1072" s="97" t="str">
        <f>VLOOKUP(B1072,Stock!$A$2:$B$133,2,0)</f>
        <v>#N/A</v>
      </c>
      <c r="D1072" s="105"/>
      <c r="E1072" s="106"/>
    </row>
    <row r="1073" ht="15.75" customHeight="1">
      <c r="A1073" s="95"/>
      <c r="B1073" s="104"/>
      <c r="C1073" s="97" t="str">
        <f>VLOOKUP(B1073,Stock!$A$2:$B$133,2,0)</f>
        <v>#N/A</v>
      </c>
      <c r="D1073" s="105"/>
      <c r="E1073" s="106"/>
    </row>
    <row r="1074" ht="15.75" customHeight="1">
      <c r="A1074" s="95"/>
      <c r="B1074" s="104"/>
      <c r="C1074" s="97" t="str">
        <f>VLOOKUP(B1074,Stock!$A$2:$B$133,2,0)</f>
        <v>#N/A</v>
      </c>
      <c r="D1074" s="105"/>
      <c r="E1074" s="106"/>
    </row>
    <row r="1075" ht="15.75" customHeight="1">
      <c r="A1075" s="95"/>
      <c r="B1075" s="104"/>
      <c r="C1075" s="97" t="str">
        <f>VLOOKUP(B1075,Stock!$A$2:$B$133,2,0)</f>
        <v>#N/A</v>
      </c>
      <c r="D1075" s="105"/>
      <c r="E1075" s="106"/>
    </row>
    <row r="1076" ht="15.75" customHeight="1">
      <c r="A1076" s="95"/>
      <c r="B1076" s="104"/>
      <c r="C1076" s="97" t="str">
        <f>VLOOKUP(B1076,Stock!$A$2:$B$133,2,0)</f>
        <v>#N/A</v>
      </c>
      <c r="D1076" s="105"/>
      <c r="E1076" s="106"/>
    </row>
    <row r="1077" ht="15.75" customHeight="1">
      <c r="A1077" s="95"/>
      <c r="B1077" s="104"/>
      <c r="C1077" s="97" t="str">
        <f>VLOOKUP(B1077,Stock!$A$2:$B$133,2,0)</f>
        <v>#N/A</v>
      </c>
      <c r="D1077" s="105"/>
      <c r="E1077" s="106"/>
    </row>
    <row r="1078" ht="15.75" customHeight="1">
      <c r="A1078" s="95"/>
      <c r="B1078" s="104"/>
      <c r="C1078" s="97" t="str">
        <f>VLOOKUP(B1078,Stock!$A$2:$B$133,2,0)</f>
        <v>#N/A</v>
      </c>
      <c r="D1078" s="105"/>
      <c r="E1078" s="106"/>
    </row>
    <row r="1079" ht="15.75" customHeight="1">
      <c r="A1079" s="95"/>
      <c r="B1079" s="104"/>
      <c r="C1079" s="97" t="str">
        <f>VLOOKUP(B1079,Stock!$A$2:$B$133,2,0)</f>
        <v>#N/A</v>
      </c>
      <c r="D1079" s="105"/>
      <c r="E1079" s="106"/>
    </row>
    <row r="1080" ht="15.75" customHeight="1">
      <c r="A1080" s="95"/>
      <c r="B1080" s="104"/>
      <c r="C1080" s="97" t="str">
        <f>VLOOKUP(B1080,Stock!$A$2:$B$133,2,0)</f>
        <v>#N/A</v>
      </c>
      <c r="D1080" s="105"/>
      <c r="E1080" s="106"/>
    </row>
    <row r="1081" ht="15.75" customHeight="1">
      <c r="A1081" s="95"/>
      <c r="B1081" s="104"/>
      <c r="C1081" s="97" t="str">
        <f>VLOOKUP(B1081,Stock!$A$2:$B$133,2,0)</f>
        <v>#N/A</v>
      </c>
      <c r="D1081" s="105"/>
      <c r="E1081" s="106"/>
    </row>
    <row r="1082" ht="15.75" customHeight="1">
      <c r="A1082" s="95"/>
      <c r="B1082" s="104"/>
      <c r="C1082" s="97" t="str">
        <f>VLOOKUP(B1082,Stock!$A$2:$B$133,2,0)</f>
        <v>#N/A</v>
      </c>
      <c r="D1082" s="105"/>
      <c r="E1082" s="106"/>
    </row>
    <row r="1083" ht="15.75" customHeight="1">
      <c r="A1083" s="95"/>
      <c r="B1083" s="104"/>
      <c r="C1083" s="97" t="str">
        <f>VLOOKUP(B1083,Stock!$A$2:$B$133,2,0)</f>
        <v>#N/A</v>
      </c>
      <c r="D1083" s="105"/>
      <c r="E1083" s="106"/>
    </row>
    <row r="1084" ht="15.75" customHeight="1">
      <c r="A1084" s="95"/>
      <c r="B1084" s="104"/>
      <c r="C1084" s="97" t="str">
        <f>VLOOKUP(B1084,Stock!$A$2:$B$133,2,0)</f>
        <v>#N/A</v>
      </c>
      <c r="D1084" s="105"/>
      <c r="E1084" s="106"/>
    </row>
    <row r="1085" ht="15.75" customHeight="1">
      <c r="A1085" s="95"/>
      <c r="B1085" s="104"/>
      <c r="C1085" s="97" t="str">
        <f>VLOOKUP(B1085,Stock!$A$2:$B$133,2,0)</f>
        <v>#N/A</v>
      </c>
      <c r="D1085" s="105"/>
      <c r="E1085" s="106"/>
    </row>
    <row r="1086" ht="15.75" customHeight="1">
      <c r="A1086" s="95"/>
      <c r="B1086" s="104"/>
      <c r="C1086" s="97" t="str">
        <f>VLOOKUP(B1086,Stock!$A$2:$B$133,2,0)</f>
        <v>#N/A</v>
      </c>
      <c r="D1086" s="105"/>
      <c r="E1086" s="106"/>
    </row>
    <row r="1087" ht="15.75" customHeight="1">
      <c r="A1087" s="95"/>
      <c r="B1087" s="104"/>
      <c r="C1087" s="97" t="str">
        <f>VLOOKUP(B1087,Stock!$A$2:$B$133,2,0)</f>
        <v>#N/A</v>
      </c>
      <c r="D1087" s="105"/>
      <c r="E1087" s="106"/>
    </row>
    <row r="1088" ht="15.75" customHeight="1">
      <c r="A1088" s="95"/>
      <c r="B1088" s="104"/>
      <c r="C1088" s="97" t="str">
        <f>VLOOKUP(B1088,Stock!$A$2:$B$133,2,0)</f>
        <v>#N/A</v>
      </c>
      <c r="D1088" s="105"/>
      <c r="E1088" s="106"/>
    </row>
    <row r="1089" ht="15.75" customHeight="1">
      <c r="A1089" s="95"/>
      <c r="B1089" s="104"/>
      <c r="C1089" s="97" t="str">
        <f>VLOOKUP(B1089,Stock!$A$2:$B$133,2,0)</f>
        <v>#N/A</v>
      </c>
      <c r="D1089" s="105"/>
      <c r="E1089" s="106"/>
    </row>
    <row r="1090" ht="15.75" customHeight="1">
      <c r="A1090" s="95"/>
      <c r="B1090" s="104"/>
      <c r="C1090" s="97" t="str">
        <f>VLOOKUP(B1090,Stock!$A$2:$B$133,2,0)</f>
        <v>#N/A</v>
      </c>
      <c r="D1090" s="105"/>
      <c r="E1090" s="106"/>
    </row>
    <row r="1091" ht="15.75" customHeight="1">
      <c r="A1091" s="95"/>
      <c r="B1091" s="104"/>
      <c r="C1091" s="97" t="str">
        <f>VLOOKUP(B1091,Stock!$A$2:$B$133,2,0)</f>
        <v>#N/A</v>
      </c>
      <c r="D1091" s="105"/>
      <c r="E1091" s="106"/>
    </row>
    <row r="1092" ht="15.75" customHeight="1">
      <c r="A1092" s="95"/>
      <c r="B1092" s="104"/>
      <c r="C1092" s="97" t="str">
        <f>VLOOKUP(B1092,Stock!$A$2:$B$133,2,0)</f>
        <v>#N/A</v>
      </c>
      <c r="D1092" s="105"/>
      <c r="E1092" s="106"/>
    </row>
    <row r="1093" ht="15.75" customHeight="1">
      <c r="A1093" s="95"/>
      <c r="B1093" s="104"/>
      <c r="C1093" s="97" t="str">
        <f>VLOOKUP(B1093,Stock!$A$2:$B$133,2,0)</f>
        <v>#N/A</v>
      </c>
      <c r="D1093" s="105"/>
      <c r="E1093" s="106"/>
    </row>
    <row r="1094" ht="15.75" customHeight="1">
      <c r="A1094" s="95"/>
      <c r="B1094" s="104"/>
      <c r="C1094" s="97" t="str">
        <f>VLOOKUP(B1094,Stock!$A$2:$B$133,2,0)</f>
        <v>#N/A</v>
      </c>
      <c r="D1094" s="105"/>
      <c r="E1094" s="106"/>
    </row>
    <row r="1095" ht="15.75" customHeight="1">
      <c r="A1095" s="95"/>
      <c r="B1095" s="104"/>
      <c r="C1095" s="97" t="str">
        <f>VLOOKUP(B1095,Stock!$A$2:$B$133,2,0)</f>
        <v>#N/A</v>
      </c>
      <c r="D1095" s="105"/>
      <c r="E1095" s="106"/>
    </row>
    <row r="1096" ht="15.75" customHeight="1">
      <c r="A1096" s="95"/>
      <c r="B1096" s="104"/>
      <c r="C1096" s="97" t="str">
        <f>VLOOKUP(B1096,Stock!$A$2:$B$133,2,0)</f>
        <v>#N/A</v>
      </c>
      <c r="D1096" s="105"/>
      <c r="E1096" s="106"/>
    </row>
    <row r="1097" ht="15.75" customHeight="1">
      <c r="A1097" s="95"/>
      <c r="B1097" s="104"/>
      <c r="C1097" s="97" t="str">
        <f>VLOOKUP(B1097,Stock!$A$2:$B$133,2,0)</f>
        <v>#N/A</v>
      </c>
      <c r="D1097" s="105"/>
      <c r="E1097" s="106"/>
    </row>
    <row r="1098" ht="15.75" customHeight="1">
      <c r="A1098" s="95"/>
      <c r="B1098" s="104"/>
      <c r="C1098" s="97" t="str">
        <f>VLOOKUP(B1098,Stock!$A$2:$B$133,2,0)</f>
        <v>#N/A</v>
      </c>
      <c r="D1098" s="105"/>
      <c r="E1098" s="106"/>
    </row>
    <row r="1099" ht="15.75" customHeight="1">
      <c r="A1099" s="95"/>
      <c r="B1099" s="104"/>
      <c r="C1099" s="97" t="str">
        <f>VLOOKUP(B1099,Stock!$A$2:$B$133,2,0)</f>
        <v>#N/A</v>
      </c>
      <c r="D1099" s="105"/>
      <c r="E1099" s="106"/>
    </row>
    <row r="1100" ht="15.75" customHeight="1">
      <c r="A1100" s="95"/>
      <c r="B1100" s="104"/>
      <c r="C1100" s="97" t="str">
        <f>VLOOKUP(B1100,Stock!$A$2:$B$133,2,0)</f>
        <v>#N/A</v>
      </c>
      <c r="D1100" s="105"/>
      <c r="E1100" s="106"/>
    </row>
    <row r="1101" ht="15.75" customHeight="1">
      <c r="A1101" s="95"/>
      <c r="B1101" s="104"/>
      <c r="C1101" s="97" t="str">
        <f>VLOOKUP(B1101,Stock!$A$2:$B$133,2,0)</f>
        <v>#N/A</v>
      </c>
      <c r="D1101" s="105"/>
      <c r="E1101" s="106"/>
    </row>
    <row r="1102" ht="15.75" customHeight="1">
      <c r="A1102" s="95"/>
      <c r="B1102" s="104"/>
      <c r="C1102" s="97" t="str">
        <f>VLOOKUP(B1102,Stock!$A$2:$B$133,2,0)</f>
        <v>#N/A</v>
      </c>
      <c r="D1102" s="105"/>
      <c r="E1102" s="106"/>
    </row>
    <row r="1103" ht="15.75" customHeight="1">
      <c r="A1103" s="95"/>
      <c r="B1103" s="104"/>
      <c r="C1103" s="97" t="str">
        <f>VLOOKUP(B1103,Stock!$A$2:$B$133,2,0)</f>
        <v>#N/A</v>
      </c>
      <c r="D1103" s="105"/>
      <c r="E1103" s="106"/>
    </row>
    <row r="1104" ht="15.75" customHeight="1">
      <c r="A1104" s="95"/>
      <c r="B1104" s="104"/>
      <c r="C1104" s="97" t="str">
        <f>VLOOKUP(B1104,Stock!$A$2:$B$133,2,0)</f>
        <v>#N/A</v>
      </c>
      <c r="D1104" s="105"/>
      <c r="E1104" s="106"/>
    </row>
    <row r="1105" ht="15.75" customHeight="1">
      <c r="A1105" s="95"/>
      <c r="B1105" s="104"/>
      <c r="C1105" s="97" t="str">
        <f>VLOOKUP(B1105,Stock!$A$2:$B$133,2,0)</f>
        <v>#N/A</v>
      </c>
      <c r="D1105" s="105"/>
      <c r="E1105" s="106"/>
    </row>
    <row r="1106" ht="15.75" customHeight="1">
      <c r="A1106" s="95"/>
      <c r="B1106" s="104"/>
      <c r="C1106" s="97" t="str">
        <f>VLOOKUP(B1106,Stock!$A$2:$B$133,2,0)</f>
        <v>#N/A</v>
      </c>
      <c r="D1106" s="105"/>
      <c r="E1106" s="106"/>
    </row>
    <row r="1107" ht="15.75" customHeight="1">
      <c r="A1107" s="95"/>
      <c r="B1107" s="104"/>
      <c r="C1107" s="97" t="str">
        <f>VLOOKUP(B1107,Stock!$A$2:$B$133,2,0)</f>
        <v>#N/A</v>
      </c>
      <c r="D1107" s="105"/>
      <c r="E1107" s="106"/>
    </row>
    <row r="1108" ht="15.75" customHeight="1">
      <c r="A1108" s="95"/>
      <c r="B1108" s="104"/>
      <c r="C1108" s="97" t="str">
        <f>VLOOKUP(B1108,Stock!$A$2:$B$133,2,0)</f>
        <v>#N/A</v>
      </c>
      <c r="D1108" s="105"/>
      <c r="E1108" s="106"/>
    </row>
    <row r="1109" ht="15.75" customHeight="1">
      <c r="A1109" s="95"/>
      <c r="B1109" s="104"/>
      <c r="C1109" s="97" t="str">
        <f>VLOOKUP(B1109,Stock!$A$2:$B$133,2,0)</f>
        <v>#N/A</v>
      </c>
      <c r="D1109" s="105"/>
      <c r="E1109" s="106"/>
    </row>
    <row r="1110" ht="15.75" customHeight="1">
      <c r="A1110" s="95"/>
      <c r="B1110" s="104"/>
      <c r="C1110" s="97" t="str">
        <f>VLOOKUP(B1110,Stock!$A$2:$B$133,2,0)</f>
        <v>#N/A</v>
      </c>
      <c r="D1110" s="105"/>
      <c r="E1110" s="106"/>
    </row>
    <row r="1111" ht="15.75" customHeight="1">
      <c r="A1111" s="95"/>
      <c r="B1111" s="104"/>
      <c r="C1111" s="97" t="str">
        <f>VLOOKUP(B1111,Stock!$A$2:$B$133,2,0)</f>
        <v>#N/A</v>
      </c>
      <c r="D1111" s="105"/>
      <c r="E1111" s="106"/>
    </row>
    <row r="1112" ht="15.75" customHeight="1">
      <c r="A1112" s="95"/>
      <c r="B1112" s="104"/>
      <c r="C1112" s="97" t="str">
        <f>VLOOKUP(B1112,Stock!$A$2:$B$133,2,0)</f>
        <v>#N/A</v>
      </c>
      <c r="D1112" s="105"/>
      <c r="E1112" s="106"/>
    </row>
    <row r="1113" ht="15.75" customHeight="1">
      <c r="A1113" s="95"/>
      <c r="B1113" s="104"/>
      <c r="C1113" s="97" t="str">
        <f>VLOOKUP(B1113,Stock!$A$2:$B$133,2,0)</f>
        <v>#N/A</v>
      </c>
      <c r="D1113" s="105"/>
      <c r="E1113" s="106"/>
    </row>
    <row r="1114" ht="15.75" customHeight="1">
      <c r="A1114" s="95"/>
      <c r="B1114" s="104"/>
      <c r="C1114" s="97" t="str">
        <f>VLOOKUP(B1114,Stock!$A$2:$B$133,2,0)</f>
        <v>#N/A</v>
      </c>
      <c r="D1114" s="105"/>
      <c r="E1114" s="106"/>
    </row>
    <row r="1115" ht="15.75" customHeight="1">
      <c r="A1115" s="95"/>
      <c r="B1115" s="104"/>
      <c r="C1115" s="97" t="str">
        <f>VLOOKUP(B1115,Stock!$A$2:$B$133,2,0)</f>
        <v>#N/A</v>
      </c>
      <c r="D1115" s="105"/>
      <c r="E1115" s="106"/>
    </row>
    <row r="1116" ht="15.75" customHeight="1">
      <c r="A1116" s="95"/>
      <c r="B1116" s="104"/>
      <c r="C1116" s="97" t="str">
        <f>VLOOKUP(B1116,Stock!$A$2:$B$133,2,0)</f>
        <v>#N/A</v>
      </c>
      <c r="D1116" s="105"/>
      <c r="E1116" s="106"/>
    </row>
    <row r="1117" ht="15.75" customHeight="1">
      <c r="A1117" s="95"/>
      <c r="B1117" s="104"/>
      <c r="C1117" s="97" t="str">
        <f>VLOOKUP(B1117,Stock!$A$2:$B$133,2,0)</f>
        <v>#N/A</v>
      </c>
      <c r="D1117" s="105"/>
      <c r="E1117" s="106"/>
    </row>
    <row r="1118" ht="15.75" customHeight="1">
      <c r="A1118" s="95"/>
      <c r="B1118" s="104"/>
      <c r="C1118" s="97" t="str">
        <f>VLOOKUP(B1118,Stock!$A$2:$B$133,2,0)</f>
        <v>#N/A</v>
      </c>
      <c r="D1118" s="105"/>
      <c r="E1118" s="106"/>
    </row>
    <row r="1119" ht="15.75" customHeight="1">
      <c r="A1119" s="95"/>
      <c r="B1119" s="104"/>
      <c r="C1119" s="97" t="str">
        <f>VLOOKUP(B1119,Stock!$A$2:$B$133,2,0)</f>
        <v>#N/A</v>
      </c>
      <c r="D1119" s="105"/>
      <c r="E1119" s="106"/>
    </row>
    <row r="1120" ht="15.75" customHeight="1">
      <c r="A1120" s="95"/>
      <c r="B1120" s="104"/>
      <c r="C1120" s="97" t="str">
        <f>VLOOKUP(B1120,Stock!$A$2:$B$133,2,0)</f>
        <v>#N/A</v>
      </c>
      <c r="D1120" s="105"/>
      <c r="E1120" s="106"/>
    </row>
    <row r="1121" ht="15.75" customHeight="1">
      <c r="A1121" s="95"/>
      <c r="B1121" s="104"/>
      <c r="C1121" s="97" t="str">
        <f>VLOOKUP(B1121,Stock!$A$2:$B$133,2,0)</f>
        <v>#N/A</v>
      </c>
      <c r="D1121" s="105"/>
      <c r="E1121" s="106"/>
    </row>
    <row r="1122" ht="15.75" customHeight="1">
      <c r="A1122" s="95"/>
      <c r="B1122" s="104"/>
      <c r="C1122" s="97" t="str">
        <f>VLOOKUP(B1122,Stock!$A$2:$B$133,2,0)</f>
        <v>#N/A</v>
      </c>
      <c r="D1122" s="105"/>
      <c r="E1122" s="106"/>
    </row>
    <row r="1123" ht="15.75" customHeight="1">
      <c r="A1123" s="95"/>
      <c r="B1123" s="104"/>
      <c r="C1123" s="97" t="str">
        <f>VLOOKUP(B1123,Stock!$A$2:$B$133,2,0)</f>
        <v>#N/A</v>
      </c>
      <c r="D1123" s="105"/>
      <c r="E1123" s="106"/>
    </row>
    <row r="1124" ht="15.75" customHeight="1">
      <c r="A1124" s="95"/>
      <c r="B1124" s="104"/>
      <c r="C1124" s="97" t="str">
        <f>VLOOKUP(B1124,Stock!$A$2:$B$133,2,0)</f>
        <v>#N/A</v>
      </c>
      <c r="D1124" s="105"/>
      <c r="E1124" s="106"/>
    </row>
    <row r="1125" ht="15.75" customHeight="1">
      <c r="A1125" s="95"/>
      <c r="B1125" s="104"/>
      <c r="C1125" s="97" t="str">
        <f>VLOOKUP(B1125,Stock!$A$2:$B$133,2,0)</f>
        <v>#N/A</v>
      </c>
      <c r="D1125" s="105"/>
      <c r="E1125" s="106"/>
    </row>
    <row r="1126" ht="15.75" customHeight="1">
      <c r="A1126" s="95"/>
      <c r="B1126" s="104"/>
      <c r="C1126" s="97" t="str">
        <f>VLOOKUP(B1126,Stock!$A$2:$B$133,2,0)</f>
        <v>#N/A</v>
      </c>
      <c r="D1126" s="105"/>
      <c r="E1126" s="106"/>
    </row>
    <row r="1127" ht="15.75" customHeight="1">
      <c r="A1127" s="95"/>
      <c r="B1127" s="104"/>
      <c r="C1127" s="97" t="str">
        <f>VLOOKUP(B1127,Stock!$A$2:$B$133,2,0)</f>
        <v>#N/A</v>
      </c>
      <c r="D1127" s="105"/>
      <c r="E1127" s="106"/>
    </row>
    <row r="1128" ht="15.75" customHeight="1">
      <c r="A1128" s="95"/>
      <c r="B1128" s="104"/>
      <c r="C1128" s="97" t="str">
        <f>VLOOKUP(B1128,Stock!$A$2:$B$133,2,0)</f>
        <v>#N/A</v>
      </c>
      <c r="D1128" s="105"/>
      <c r="E1128" s="106"/>
    </row>
    <row r="1129" ht="15.75" customHeight="1">
      <c r="A1129" s="95"/>
      <c r="B1129" s="104"/>
      <c r="C1129" s="97" t="str">
        <f>VLOOKUP(B1129,Stock!$A$2:$B$133,2,0)</f>
        <v>#N/A</v>
      </c>
      <c r="D1129" s="105"/>
      <c r="E1129" s="106"/>
    </row>
    <row r="1130" ht="15.75" customHeight="1">
      <c r="A1130" s="95"/>
      <c r="B1130" s="104"/>
      <c r="C1130" s="97" t="str">
        <f>VLOOKUP(B1130,Stock!$A$2:$B$133,2,0)</f>
        <v>#N/A</v>
      </c>
      <c r="D1130" s="105"/>
      <c r="E1130" s="106"/>
    </row>
    <row r="1131" ht="15.75" customHeight="1">
      <c r="A1131" s="95"/>
      <c r="B1131" s="104"/>
      <c r="C1131" s="97" t="str">
        <f>VLOOKUP(B1131,Stock!$A$2:$B$133,2,0)</f>
        <v>#N/A</v>
      </c>
      <c r="D1131" s="105"/>
      <c r="E1131" s="106"/>
    </row>
    <row r="1132" ht="15.75" customHeight="1">
      <c r="A1132" s="95"/>
      <c r="B1132" s="104"/>
      <c r="C1132" s="97" t="str">
        <f>VLOOKUP(B1132,Stock!$A$2:$B$133,2,0)</f>
        <v>#N/A</v>
      </c>
      <c r="D1132" s="105"/>
      <c r="E1132" s="106"/>
    </row>
    <row r="1133" ht="15.75" customHeight="1">
      <c r="A1133" s="95"/>
      <c r="B1133" s="104"/>
      <c r="C1133" s="97" t="str">
        <f>VLOOKUP(B1133,Stock!$A$2:$B$133,2,0)</f>
        <v>#N/A</v>
      </c>
      <c r="D1133" s="105"/>
      <c r="E1133" s="106"/>
    </row>
    <row r="1134" ht="15.75" customHeight="1">
      <c r="A1134" s="95"/>
      <c r="B1134" s="104"/>
      <c r="C1134" s="97" t="str">
        <f>VLOOKUP(B1134,Stock!$A$2:$B$133,2,0)</f>
        <v>#N/A</v>
      </c>
      <c r="D1134" s="105"/>
      <c r="E1134" s="106"/>
    </row>
    <row r="1135" ht="15.75" customHeight="1">
      <c r="A1135" s="95"/>
      <c r="B1135" s="104"/>
      <c r="C1135" s="97" t="str">
        <f>VLOOKUP(B1135,Stock!$A$2:$B$133,2,0)</f>
        <v>#N/A</v>
      </c>
      <c r="D1135" s="105"/>
      <c r="E1135" s="106"/>
    </row>
    <row r="1136" ht="15.75" customHeight="1">
      <c r="A1136" s="95"/>
      <c r="B1136" s="104"/>
      <c r="C1136" s="97" t="str">
        <f>VLOOKUP(B1136,Stock!$A$2:$B$133,2,0)</f>
        <v>#N/A</v>
      </c>
      <c r="D1136" s="105"/>
      <c r="E1136" s="106"/>
    </row>
    <row r="1137" ht="15.75" customHeight="1">
      <c r="A1137" s="95"/>
      <c r="B1137" s="104"/>
      <c r="C1137" s="97" t="str">
        <f>VLOOKUP(B1137,Stock!$A$2:$B$133,2,0)</f>
        <v>#N/A</v>
      </c>
      <c r="D1137" s="105"/>
      <c r="E1137" s="106"/>
    </row>
    <row r="1138" ht="15.75" customHeight="1">
      <c r="A1138" s="95"/>
      <c r="B1138" s="104"/>
      <c r="C1138" s="97" t="str">
        <f>VLOOKUP(B1138,Stock!$A$2:$B$133,2,0)</f>
        <v>#N/A</v>
      </c>
      <c r="D1138" s="105"/>
      <c r="E1138" s="106"/>
    </row>
    <row r="1139" ht="15.75" customHeight="1">
      <c r="A1139" s="95"/>
      <c r="B1139" s="104"/>
      <c r="C1139" s="97" t="str">
        <f>VLOOKUP(B1139,Stock!$A$2:$B$133,2,0)</f>
        <v>#N/A</v>
      </c>
      <c r="D1139" s="105"/>
      <c r="E1139" s="106"/>
    </row>
    <row r="1140" ht="15.75" customHeight="1">
      <c r="A1140" s="95"/>
      <c r="B1140" s="104"/>
      <c r="C1140" s="97" t="str">
        <f>VLOOKUP(B1140,Stock!$A$2:$B$133,2,0)</f>
        <v>#N/A</v>
      </c>
      <c r="D1140" s="105"/>
      <c r="E1140" s="106"/>
    </row>
    <row r="1141" ht="15.75" customHeight="1">
      <c r="A1141" s="95"/>
      <c r="B1141" s="104"/>
      <c r="C1141" s="97" t="str">
        <f>VLOOKUP(B1141,Stock!$A$2:$B$133,2,0)</f>
        <v>#N/A</v>
      </c>
      <c r="D1141" s="105"/>
      <c r="E1141" s="106"/>
    </row>
    <row r="1142" ht="15.75" customHeight="1">
      <c r="A1142" s="95"/>
      <c r="B1142" s="104"/>
      <c r="C1142" s="97" t="str">
        <f>VLOOKUP(B1142,Stock!$A$2:$B$133,2,0)</f>
        <v>#N/A</v>
      </c>
      <c r="D1142" s="105"/>
      <c r="E1142" s="106"/>
    </row>
    <row r="1143" ht="15.75" customHeight="1">
      <c r="A1143" s="95"/>
      <c r="B1143" s="104"/>
      <c r="C1143" s="97" t="str">
        <f>VLOOKUP(B1143,Stock!$A$2:$B$133,2,0)</f>
        <v>#N/A</v>
      </c>
      <c r="D1143" s="105"/>
      <c r="E1143" s="106"/>
    </row>
    <row r="1144" ht="15.75" customHeight="1">
      <c r="A1144" s="95"/>
      <c r="B1144" s="104"/>
      <c r="C1144" s="97" t="str">
        <f>VLOOKUP(B1144,Stock!$A$2:$B$133,2,0)</f>
        <v>#N/A</v>
      </c>
      <c r="D1144" s="105"/>
      <c r="E1144" s="106"/>
    </row>
    <row r="1145" ht="15.75" customHeight="1">
      <c r="A1145" s="95"/>
      <c r="B1145" s="104"/>
      <c r="C1145" s="97" t="str">
        <f>VLOOKUP(B1145,Stock!$A$2:$B$133,2,0)</f>
        <v>#N/A</v>
      </c>
      <c r="D1145" s="105"/>
      <c r="E1145" s="106"/>
    </row>
    <row r="1146" ht="15.75" customHeight="1">
      <c r="A1146" s="95"/>
      <c r="B1146" s="104"/>
      <c r="C1146" s="97" t="str">
        <f>VLOOKUP(B1146,Stock!$A$2:$B$133,2,0)</f>
        <v>#N/A</v>
      </c>
      <c r="D1146" s="105"/>
      <c r="E1146" s="106"/>
    </row>
    <row r="1147" ht="15.75" customHeight="1">
      <c r="A1147" s="95"/>
      <c r="B1147" s="104"/>
      <c r="C1147" s="97" t="str">
        <f>VLOOKUP(B1147,Stock!$A$2:$B$133,2,0)</f>
        <v>#N/A</v>
      </c>
      <c r="D1147" s="105"/>
      <c r="E1147" s="106"/>
    </row>
    <row r="1148" ht="15.75" customHeight="1">
      <c r="A1148" s="95"/>
      <c r="B1148" s="104"/>
      <c r="C1148" s="97" t="str">
        <f>VLOOKUP(B1148,Stock!$A$2:$B$133,2,0)</f>
        <v>#N/A</v>
      </c>
      <c r="D1148" s="105"/>
      <c r="E1148" s="106"/>
    </row>
    <row r="1149" ht="15.75" customHeight="1">
      <c r="A1149" s="95"/>
      <c r="B1149" s="104"/>
      <c r="C1149" s="97" t="str">
        <f>VLOOKUP(B1149,Stock!$A$2:$B$133,2,0)</f>
        <v>#N/A</v>
      </c>
      <c r="D1149" s="105"/>
      <c r="E1149" s="106"/>
    </row>
    <row r="1150" ht="15.75" customHeight="1">
      <c r="A1150" s="95"/>
      <c r="B1150" s="104"/>
      <c r="C1150" s="97" t="str">
        <f>VLOOKUP(B1150,Stock!$A$2:$B$133,2,0)</f>
        <v>#N/A</v>
      </c>
      <c r="D1150" s="105"/>
      <c r="E1150" s="106"/>
    </row>
    <row r="1151" ht="15.75" customHeight="1">
      <c r="A1151" s="95"/>
      <c r="B1151" s="104"/>
      <c r="C1151" s="97" t="str">
        <f>VLOOKUP(B1151,Stock!$A$2:$B$133,2,0)</f>
        <v>#N/A</v>
      </c>
      <c r="D1151" s="105"/>
      <c r="E1151" s="106"/>
    </row>
    <row r="1152" ht="15.75" customHeight="1">
      <c r="A1152" s="95"/>
      <c r="B1152" s="104"/>
      <c r="C1152" s="97" t="str">
        <f>VLOOKUP(B1152,Stock!$A$2:$B$133,2,0)</f>
        <v>#N/A</v>
      </c>
      <c r="D1152" s="105"/>
      <c r="E1152" s="106"/>
    </row>
    <row r="1153" ht="15.75" customHeight="1">
      <c r="A1153" s="95"/>
      <c r="B1153" s="104"/>
      <c r="C1153" s="97" t="str">
        <f>VLOOKUP(B1153,Stock!$A$2:$B$133,2,0)</f>
        <v>#N/A</v>
      </c>
      <c r="D1153" s="105"/>
      <c r="E1153" s="106"/>
    </row>
    <row r="1154" ht="15.75" customHeight="1">
      <c r="A1154" s="95"/>
      <c r="B1154" s="104"/>
      <c r="C1154" s="97" t="str">
        <f>VLOOKUP(B1154,Stock!$A$2:$B$133,2,0)</f>
        <v>#N/A</v>
      </c>
      <c r="D1154" s="105"/>
      <c r="E1154" s="106"/>
    </row>
    <row r="1155" ht="15.75" customHeight="1">
      <c r="A1155" s="95"/>
      <c r="B1155" s="104"/>
      <c r="C1155" s="97" t="str">
        <f>VLOOKUP(B1155,Stock!$A$2:$B$133,2,0)</f>
        <v>#N/A</v>
      </c>
      <c r="D1155" s="105"/>
      <c r="E1155" s="106"/>
    </row>
    <row r="1156" ht="15.75" customHeight="1">
      <c r="A1156" s="95"/>
      <c r="B1156" s="104"/>
      <c r="C1156" s="97" t="str">
        <f>VLOOKUP(B1156,Stock!$A$2:$B$133,2,0)</f>
        <v>#N/A</v>
      </c>
      <c r="D1156" s="105"/>
      <c r="E1156" s="106"/>
    </row>
    <row r="1157" ht="15.75" customHeight="1">
      <c r="A1157" s="95"/>
      <c r="B1157" s="104"/>
      <c r="C1157" s="97" t="str">
        <f>VLOOKUP(B1157,Stock!$A$2:$B$133,2,0)</f>
        <v>#N/A</v>
      </c>
      <c r="D1157" s="105"/>
      <c r="E1157" s="106"/>
    </row>
    <row r="1158" ht="15.75" customHeight="1">
      <c r="A1158" s="95"/>
      <c r="B1158" s="104"/>
      <c r="C1158" s="97" t="str">
        <f>VLOOKUP(B1158,Stock!$A$2:$B$133,2,0)</f>
        <v>#N/A</v>
      </c>
      <c r="D1158" s="105"/>
      <c r="E1158" s="106"/>
    </row>
    <row r="1159" ht="15.75" customHeight="1">
      <c r="A1159" s="95"/>
      <c r="B1159" s="104"/>
      <c r="C1159" s="97" t="str">
        <f>VLOOKUP(B1159,Stock!$A$2:$B$133,2,0)</f>
        <v>#N/A</v>
      </c>
      <c r="D1159" s="105"/>
      <c r="E1159" s="106"/>
    </row>
    <row r="1160" ht="15.75" customHeight="1">
      <c r="A1160" s="95"/>
      <c r="B1160" s="104"/>
      <c r="C1160" s="97" t="str">
        <f>VLOOKUP(B1160,Stock!$A$2:$B$133,2,0)</f>
        <v>#N/A</v>
      </c>
      <c r="D1160" s="105"/>
      <c r="E1160" s="106"/>
    </row>
    <row r="1161" ht="15.75" customHeight="1">
      <c r="A1161" s="95"/>
      <c r="B1161" s="104"/>
      <c r="C1161" s="97" t="str">
        <f>VLOOKUP(B1161,Stock!$A$2:$B$133,2,0)</f>
        <v>#N/A</v>
      </c>
      <c r="D1161" s="105"/>
      <c r="E1161" s="106"/>
    </row>
    <row r="1162" ht="15.75" customHeight="1">
      <c r="A1162" s="95"/>
      <c r="B1162" s="104"/>
      <c r="C1162" s="97" t="str">
        <f>VLOOKUP(B1162,Stock!$A$2:$B$133,2,0)</f>
        <v>#N/A</v>
      </c>
      <c r="D1162" s="105"/>
      <c r="E1162" s="106"/>
    </row>
    <row r="1163" ht="15.75" customHeight="1">
      <c r="A1163" s="95"/>
      <c r="B1163" s="104"/>
      <c r="C1163" s="97" t="str">
        <f>VLOOKUP(B1163,Stock!$A$2:$B$133,2,0)</f>
        <v>#N/A</v>
      </c>
      <c r="D1163" s="105"/>
      <c r="E1163" s="106"/>
    </row>
    <row r="1164" ht="15.75" customHeight="1">
      <c r="A1164" s="95"/>
      <c r="B1164" s="104"/>
      <c r="C1164" s="97" t="str">
        <f>VLOOKUP(B1164,Stock!$A$2:$B$133,2,0)</f>
        <v>#N/A</v>
      </c>
      <c r="D1164" s="105"/>
      <c r="E1164" s="106"/>
    </row>
    <row r="1165" ht="15.75" customHeight="1">
      <c r="A1165" s="95"/>
      <c r="B1165" s="104"/>
      <c r="C1165" s="97" t="str">
        <f>VLOOKUP(B1165,Stock!$A$2:$B$133,2,0)</f>
        <v>#N/A</v>
      </c>
      <c r="D1165" s="105"/>
      <c r="E1165" s="106"/>
    </row>
    <row r="1166" ht="15.75" customHeight="1">
      <c r="A1166" s="95"/>
      <c r="B1166" s="104"/>
      <c r="C1166" s="97" t="str">
        <f>VLOOKUP(B1166,Stock!$A$2:$B$133,2,0)</f>
        <v>#N/A</v>
      </c>
      <c r="D1166" s="105"/>
      <c r="E1166" s="106"/>
    </row>
    <row r="1167" ht="15.75" customHeight="1">
      <c r="A1167" s="95"/>
      <c r="B1167" s="104"/>
      <c r="C1167" s="97" t="str">
        <f>VLOOKUP(B1167,Stock!$A$2:$B$133,2,0)</f>
        <v>#N/A</v>
      </c>
      <c r="D1167" s="105"/>
      <c r="E1167" s="106"/>
    </row>
    <row r="1168" ht="15.75" customHeight="1">
      <c r="A1168" s="95"/>
      <c r="B1168" s="104"/>
      <c r="C1168" s="97" t="str">
        <f>VLOOKUP(B1168,Stock!$A$2:$B$133,2,0)</f>
        <v>#N/A</v>
      </c>
      <c r="D1168" s="105"/>
      <c r="E1168" s="106"/>
    </row>
    <row r="1169" ht="15.75" customHeight="1">
      <c r="A1169" s="95"/>
      <c r="B1169" s="104"/>
      <c r="C1169" s="97" t="str">
        <f>VLOOKUP(B1169,Stock!$A$2:$B$133,2,0)</f>
        <v>#N/A</v>
      </c>
      <c r="D1169" s="105"/>
      <c r="E1169" s="106"/>
    </row>
    <row r="1170" ht="15.75" customHeight="1">
      <c r="A1170" s="95"/>
      <c r="B1170" s="104"/>
      <c r="C1170" s="97" t="str">
        <f>VLOOKUP(B1170,Stock!$A$2:$B$133,2,0)</f>
        <v>#N/A</v>
      </c>
      <c r="D1170" s="105"/>
      <c r="E1170" s="106"/>
    </row>
    <row r="1171" ht="15.75" customHeight="1">
      <c r="A1171" s="95"/>
      <c r="B1171" s="104"/>
      <c r="C1171" s="97" t="str">
        <f>VLOOKUP(B1171,Stock!$A$2:$B$133,2,0)</f>
        <v>#N/A</v>
      </c>
      <c r="D1171" s="105"/>
      <c r="E1171" s="106"/>
    </row>
    <row r="1172" ht="15.75" customHeight="1">
      <c r="A1172" s="95"/>
      <c r="B1172" s="104"/>
      <c r="C1172" s="97" t="str">
        <f>VLOOKUP(B1172,Stock!$A$2:$B$133,2,0)</f>
        <v>#N/A</v>
      </c>
      <c r="D1172" s="105"/>
      <c r="E1172" s="106"/>
    </row>
    <row r="1173" ht="15.75" customHeight="1">
      <c r="A1173" s="95"/>
      <c r="B1173" s="104"/>
      <c r="C1173" s="97" t="str">
        <f>VLOOKUP(B1173,Stock!$A$2:$B$133,2,0)</f>
        <v>#N/A</v>
      </c>
      <c r="D1173" s="105"/>
      <c r="E1173" s="106"/>
    </row>
    <row r="1174" ht="15.75" customHeight="1">
      <c r="A1174" s="95"/>
      <c r="B1174" s="104"/>
      <c r="C1174" s="97" t="str">
        <f>VLOOKUP(B1174,Stock!$A$2:$B$133,2,0)</f>
        <v>#N/A</v>
      </c>
      <c r="D1174" s="105"/>
      <c r="E1174" s="106"/>
    </row>
    <row r="1175" ht="15.75" customHeight="1">
      <c r="A1175" s="95"/>
      <c r="B1175" s="104"/>
      <c r="C1175" s="97" t="str">
        <f>VLOOKUP(B1175,Stock!$A$2:$B$133,2,0)</f>
        <v>#N/A</v>
      </c>
      <c r="D1175" s="105"/>
      <c r="E1175" s="106"/>
    </row>
    <row r="1176" ht="15.75" customHeight="1">
      <c r="A1176" s="95"/>
      <c r="B1176" s="104"/>
      <c r="C1176" s="97" t="str">
        <f>VLOOKUP(B1176,Stock!$A$2:$B$133,2,0)</f>
        <v>#N/A</v>
      </c>
      <c r="D1176" s="105"/>
      <c r="E1176" s="106"/>
    </row>
    <row r="1177" ht="15.75" customHeight="1">
      <c r="A1177" s="95"/>
      <c r="B1177" s="104"/>
      <c r="C1177" s="97" t="str">
        <f>VLOOKUP(B1177,Stock!$A$2:$B$133,2,0)</f>
        <v>#N/A</v>
      </c>
      <c r="D1177" s="105"/>
      <c r="E1177" s="106"/>
    </row>
    <row r="1178" ht="15.75" customHeight="1">
      <c r="A1178" s="95"/>
      <c r="B1178" s="104"/>
      <c r="C1178" s="97" t="str">
        <f>VLOOKUP(B1178,Stock!$A$2:$B$133,2,0)</f>
        <v>#N/A</v>
      </c>
      <c r="D1178" s="105"/>
      <c r="E1178" s="106"/>
    </row>
    <row r="1179" ht="15.75" customHeight="1">
      <c r="A1179" s="95"/>
      <c r="B1179" s="104"/>
      <c r="C1179" s="97" t="str">
        <f>VLOOKUP(B1179,Stock!$A$2:$B$133,2,0)</f>
        <v>#N/A</v>
      </c>
      <c r="D1179" s="105"/>
      <c r="E1179" s="106"/>
    </row>
    <row r="1180" ht="15.75" customHeight="1">
      <c r="A1180" s="95"/>
      <c r="B1180" s="104"/>
      <c r="C1180" s="97" t="str">
        <f>VLOOKUP(B1180,Stock!$A$2:$B$133,2,0)</f>
        <v>#N/A</v>
      </c>
      <c r="D1180" s="105"/>
      <c r="E1180" s="106"/>
    </row>
    <row r="1181" ht="15.75" customHeight="1">
      <c r="A1181" s="95"/>
      <c r="B1181" s="104"/>
      <c r="C1181" s="97" t="str">
        <f>VLOOKUP(B1181,Stock!$A$2:$B$133,2,0)</f>
        <v>#N/A</v>
      </c>
      <c r="D1181" s="105"/>
      <c r="E1181" s="106"/>
    </row>
    <row r="1182" ht="15.75" customHeight="1">
      <c r="A1182" s="95"/>
      <c r="B1182" s="104"/>
      <c r="C1182" s="97" t="str">
        <f>VLOOKUP(B1182,Stock!$A$2:$B$133,2,0)</f>
        <v>#N/A</v>
      </c>
      <c r="D1182" s="105"/>
      <c r="E1182" s="106"/>
    </row>
    <row r="1183" ht="15.75" customHeight="1">
      <c r="A1183" s="95"/>
      <c r="B1183" s="104"/>
      <c r="C1183" s="97" t="str">
        <f>VLOOKUP(B1183,Stock!$A$2:$B$133,2,0)</f>
        <v>#N/A</v>
      </c>
      <c r="D1183" s="105"/>
      <c r="E1183" s="106"/>
    </row>
    <row r="1184" ht="15.75" customHeight="1">
      <c r="A1184" s="95"/>
      <c r="B1184" s="104"/>
      <c r="C1184" s="97" t="str">
        <f>VLOOKUP(B1184,Stock!$A$2:$B$133,2,0)</f>
        <v>#N/A</v>
      </c>
      <c r="D1184" s="105"/>
      <c r="E1184" s="106"/>
    </row>
    <row r="1185" ht="15.75" customHeight="1">
      <c r="A1185" s="95"/>
      <c r="B1185" s="104"/>
      <c r="C1185" s="97" t="str">
        <f>VLOOKUP(B1185,Stock!$A$2:$B$133,2,0)</f>
        <v>#N/A</v>
      </c>
      <c r="D1185" s="105"/>
      <c r="E1185" s="106"/>
    </row>
    <row r="1186" ht="15.75" customHeight="1">
      <c r="A1186" s="95"/>
      <c r="B1186" s="104"/>
      <c r="C1186" s="97" t="str">
        <f>VLOOKUP(B1186,Stock!$A$2:$B$133,2,0)</f>
        <v>#N/A</v>
      </c>
      <c r="D1186" s="105"/>
      <c r="E1186" s="106"/>
    </row>
    <row r="1187" ht="15.75" customHeight="1">
      <c r="A1187" s="95"/>
      <c r="B1187" s="104"/>
      <c r="C1187" s="97" t="str">
        <f>VLOOKUP(B1187,Stock!$A$2:$B$133,2,0)</f>
        <v>#N/A</v>
      </c>
      <c r="D1187" s="105"/>
      <c r="E1187" s="106"/>
    </row>
    <row r="1188" ht="15.75" customHeight="1">
      <c r="A1188" s="95"/>
      <c r="B1188" s="104"/>
      <c r="C1188" s="97" t="str">
        <f>VLOOKUP(B1188,Stock!$A$2:$B$133,2,0)</f>
        <v>#N/A</v>
      </c>
      <c r="D1188" s="105"/>
      <c r="E1188" s="106"/>
    </row>
    <row r="1189" ht="15.75" customHeight="1">
      <c r="A1189" s="95"/>
      <c r="B1189" s="104"/>
      <c r="C1189" s="97" t="str">
        <f>VLOOKUP(B1189,Stock!$A$2:$B$133,2,0)</f>
        <v>#N/A</v>
      </c>
      <c r="D1189" s="105"/>
      <c r="E1189" s="106"/>
    </row>
    <row r="1190" ht="15.75" customHeight="1">
      <c r="A1190" s="95"/>
      <c r="B1190" s="104"/>
      <c r="C1190" s="97" t="str">
        <f>VLOOKUP(B1190,Stock!$A$2:$B$133,2,0)</f>
        <v>#N/A</v>
      </c>
      <c r="D1190" s="105"/>
      <c r="E1190" s="106"/>
    </row>
    <row r="1191" ht="15.75" customHeight="1">
      <c r="A1191" s="95"/>
      <c r="B1191" s="104"/>
      <c r="C1191" s="97" t="str">
        <f>VLOOKUP(B1191,Stock!$A$2:$B$133,2,0)</f>
        <v>#N/A</v>
      </c>
      <c r="D1191" s="105"/>
      <c r="E1191" s="106"/>
    </row>
    <row r="1192" ht="15.75" customHeight="1">
      <c r="A1192" s="95"/>
      <c r="B1192" s="104"/>
      <c r="C1192" s="97" t="str">
        <f>VLOOKUP(B1192,Stock!$A$2:$B$133,2,0)</f>
        <v>#N/A</v>
      </c>
      <c r="D1192" s="105"/>
      <c r="E1192" s="106"/>
    </row>
    <row r="1193" ht="15.75" customHeight="1">
      <c r="A1193" s="95"/>
      <c r="B1193" s="104"/>
      <c r="C1193" s="97" t="str">
        <f>VLOOKUP(B1193,Stock!$A$2:$B$133,2,0)</f>
        <v>#N/A</v>
      </c>
      <c r="D1193" s="105"/>
      <c r="E1193" s="106"/>
    </row>
    <row r="1194" ht="15.75" customHeight="1">
      <c r="A1194" s="95"/>
      <c r="B1194" s="104"/>
      <c r="C1194" s="97" t="str">
        <f>VLOOKUP(B1194,Stock!$A$2:$B$133,2,0)</f>
        <v>#N/A</v>
      </c>
      <c r="D1194" s="105"/>
      <c r="E1194" s="106"/>
    </row>
    <row r="1195" ht="15.75" customHeight="1">
      <c r="A1195" s="95"/>
      <c r="B1195" s="104"/>
      <c r="C1195" s="97" t="str">
        <f>VLOOKUP(B1195,Stock!$A$2:$B$133,2,0)</f>
        <v>#N/A</v>
      </c>
      <c r="D1195" s="105"/>
      <c r="E1195" s="106"/>
    </row>
    <row r="1196" ht="15.75" customHeight="1">
      <c r="A1196" s="95"/>
      <c r="B1196" s="104"/>
      <c r="C1196" s="97" t="str">
        <f>VLOOKUP(B1196,Stock!$A$2:$B$133,2,0)</f>
        <v>#N/A</v>
      </c>
      <c r="D1196" s="105"/>
      <c r="E1196" s="106"/>
    </row>
    <row r="1197" ht="15.75" customHeight="1">
      <c r="A1197" s="95"/>
      <c r="B1197" s="104"/>
      <c r="C1197" s="97" t="str">
        <f>VLOOKUP(B1197,Stock!$A$2:$B$133,2,0)</f>
        <v>#N/A</v>
      </c>
      <c r="D1197" s="105"/>
      <c r="E1197" s="106"/>
    </row>
    <row r="1198" ht="15.75" customHeight="1">
      <c r="A1198" s="95"/>
      <c r="B1198" s="104"/>
      <c r="C1198" s="97" t="str">
        <f>VLOOKUP(B1198,Stock!$A$2:$B$133,2,0)</f>
        <v>#N/A</v>
      </c>
      <c r="D1198" s="105"/>
      <c r="E1198" s="106"/>
    </row>
    <row r="1199" ht="15.75" customHeight="1">
      <c r="A1199" s="95"/>
      <c r="B1199" s="104"/>
      <c r="C1199" s="97" t="str">
        <f>VLOOKUP(B1199,Stock!$A$2:$B$133,2,0)</f>
        <v>#N/A</v>
      </c>
      <c r="D1199" s="105"/>
      <c r="E1199" s="106"/>
    </row>
    <row r="1200" ht="15.75" customHeight="1">
      <c r="A1200" s="95"/>
      <c r="B1200" s="104"/>
      <c r="C1200" s="97" t="str">
        <f>VLOOKUP(B1200,Stock!$A$2:$B$133,2,0)</f>
        <v>#N/A</v>
      </c>
      <c r="D1200" s="105"/>
      <c r="E1200" s="106"/>
    </row>
    <row r="1201" ht="15.75" customHeight="1">
      <c r="A1201" s="95"/>
      <c r="B1201" s="104"/>
      <c r="C1201" s="97" t="str">
        <f>VLOOKUP(B1201,Stock!$A$2:$B$133,2,0)</f>
        <v>#N/A</v>
      </c>
      <c r="D1201" s="105"/>
      <c r="E1201" s="106"/>
    </row>
    <row r="1202" ht="15.75" customHeight="1">
      <c r="A1202" s="95"/>
      <c r="B1202" s="104"/>
      <c r="C1202" s="97" t="str">
        <f>VLOOKUP(B1202,Stock!$A$2:$B$133,2,0)</f>
        <v>#N/A</v>
      </c>
      <c r="D1202" s="105"/>
      <c r="E1202" s="106"/>
    </row>
    <row r="1203" ht="15.75" customHeight="1">
      <c r="A1203" s="95"/>
      <c r="B1203" s="104"/>
      <c r="C1203" s="97" t="str">
        <f>VLOOKUP(B1203,Stock!$A$2:$B$133,2,0)</f>
        <v>#N/A</v>
      </c>
      <c r="D1203" s="105"/>
      <c r="E1203" s="106"/>
    </row>
    <row r="1204" ht="15.75" customHeight="1">
      <c r="A1204" s="95"/>
      <c r="B1204" s="104"/>
      <c r="C1204" s="97" t="str">
        <f>VLOOKUP(B1204,Stock!$A$2:$B$133,2,0)</f>
        <v>#N/A</v>
      </c>
      <c r="D1204" s="105"/>
      <c r="E1204" s="106"/>
    </row>
    <row r="1205" ht="15.75" customHeight="1">
      <c r="A1205" s="95"/>
      <c r="B1205" s="104"/>
      <c r="C1205" s="97" t="str">
        <f>VLOOKUP(B1205,Stock!$A$2:$B$133,2,0)</f>
        <v>#N/A</v>
      </c>
      <c r="D1205" s="105"/>
      <c r="E1205" s="106"/>
    </row>
    <row r="1206" ht="15.75" customHeight="1">
      <c r="A1206" s="95"/>
      <c r="B1206" s="104"/>
      <c r="C1206" s="97" t="str">
        <f>VLOOKUP(B1206,Stock!$A$2:$B$133,2,0)</f>
        <v>#N/A</v>
      </c>
      <c r="D1206" s="105"/>
      <c r="E1206" s="106"/>
    </row>
    <row r="1207" ht="15.75" customHeight="1">
      <c r="A1207" s="95"/>
      <c r="B1207" s="104"/>
      <c r="C1207" s="97" t="str">
        <f>VLOOKUP(B1207,Stock!$A$2:$B$133,2,0)</f>
        <v>#N/A</v>
      </c>
      <c r="D1207" s="105"/>
      <c r="E1207" s="106"/>
    </row>
    <row r="1208" ht="15.75" customHeight="1">
      <c r="A1208" s="95"/>
      <c r="B1208" s="104"/>
      <c r="C1208" s="97" t="str">
        <f>VLOOKUP(B1208,Stock!$A$2:$B$133,2,0)</f>
        <v>#N/A</v>
      </c>
      <c r="D1208" s="105"/>
      <c r="E1208" s="106"/>
    </row>
    <row r="1209" ht="15.75" customHeight="1">
      <c r="A1209" s="95"/>
      <c r="B1209" s="104"/>
      <c r="C1209" s="97" t="str">
        <f>VLOOKUP(B1209,Stock!$A$2:$B$133,2,0)</f>
        <v>#N/A</v>
      </c>
      <c r="D1209" s="105"/>
      <c r="E1209" s="106"/>
    </row>
    <row r="1210" ht="15.75" customHeight="1">
      <c r="A1210" s="95"/>
      <c r="B1210" s="104"/>
      <c r="C1210" s="97" t="str">
        <f>VLOOKUP(B1210,Stock!$A$2:$B$133,2,0)</f>
        <v>#N/A</v>
      </c>
      <c r="D1210" s="105"/>
      <c r="E1210" s="106"/>
    </row>
    <row r="1211" ht="15.75" customHeight="1">
      <c r="A1211" s="95"/>
      <c r="B1211" s="104"/>
      <c r="C1211" s="97" t="str">
        <f>VLOOKUP(B1211,Stock!$A$2:$B$133,2,0)</f>
        <v>#N/A</v>
      </c>
      <c r="D1211" s="105"/>
      <c r="E1211" s="106"/>
    </row>
    <row r="1212" ht="15.75" customHeight="1">
      <c r="A1212" s="95"/>
      <c r="B1212" s="104"/>
      <c r="C1212" s="97" t="str">
        <f>VLOOKUP(B1212,Stock!$A$2:$B$133,2,0)</f>
        <v>#N/A</v>
      </c>
      <c r="D1212" s="105"/>
      <c r="E1212" s="106"/>
    </row>
    <row r="1213" ht="15.75" customHeight="1">
      <c r="A1213" s="95"/>
      <c r="B1213" s="104"/>
      <c r="C1213" s="97" t="str">
        <f>VLOOKUP(B1213,Stock!$A$2:$B$133,2,0)</f>
        <v>#N/A</v>
      </c>
      <c r="D1213" s="105"/>
      <c r="E1213" s="106"/>
    </row>
    <row r="1214" ht="15.75" customHeight="1">
      <c r="A1214" s="95"/>
      <c r="B1214" s="104"/>
      <c r="C1214" s="97" t="str">
        <f>VLOOKUP(B1214,Stock!$A$2:$B$133,2,0)</f>
        <v>#N/A</v>
      </c>
      <c r="D1214" s="105"/>
      <c r="E1214" s="106"/>
    </row>
    <row r="1215" ht="15.75" customHeight="1">
      <c r="A1215" s="95"/>
      <c r="B1215" s="104"/>
      <c r="C1215" s="97" t="str">
        <f>VLOOKUP(B1215,Stock!$A$2:$B$133,2,0)</f>
        <v>#N/A</v>
      </c>
      <c r="D1215" s="105"/>
      <c r="E1215" s="106"/>
    </row>
    <row r="1216" ht="15.75" customHeight="1">
      <c r="A1216" s="95"/>
      <c r="B1216" s="104"/>
      <c r="C1216" s="97" t="str">
        <f>VLOOKUP(B1216,Stock!$A$2:$B$133,2,0)</f>
        <v>#N/A</v>
      </c>
      <c r="D1216" s="105"/>
      <c r="E1216" s="106"/>
    </row>
    <row r="1217" ht="15.75" customHeight="1">
      <c r="A1217" s="95"/>
      <c r="B1217" s="104"/>
      <c r="C1217" s="97" t="str">
        <f>VLOOKUP(B1217,Stock!$A$2:$B$133,2,0)</f>
        <v>#N/A</v>
      </c>
      <c r="D1217" s="105"/>
      <c r="E1217" s="106"/>
    </row>
    <row r="1218" ht="15.75" customHeight="1">
      <c r="A1218" s="95"/>
      <c r="B1218" s="104"/>
      <c r="C1218" s="97" t="str">
        <f>VLOOKUP(B1218,Stock!$A$2:$B$133,2,0)</f>
        <v>#N/A</v>
      </c>
      <c r="D1218" s="105"/>
      <c r="E1218" s="106"/>
    </row>
    <row r="1219" ht="15.75" customHeight="1">
      <c r="A1219" s="95"/>
      <c r="B1219" s="104"/>
      <c r="C1219" s="97" t="str">
        <f>VLOOKUP(B1219,Stock!$A$2:$B$133,2,0)</f>
        <v>#N/A</v>
      </c>
      <c r="D1219" s="105"/>
      <c r="E1219" s="106"/>
    </row>
    <row r="1220" ht="15.75" customHeight="1">
      <c r="A1220" s="95"/>
      <c r="B1220" s="104"/>
      <c r="C1220" s="97" t="str">
        <f>VLOOKUP(B1220,Stock!$A$2:$B$133,2,0)</f>
        <v>#N/A</v>
      </c>
      <c r="D1220" s="105"/>
      <c r="E1220" s="106"/>
    </row>
    <row r="1221" ht="15.75" customHeight="1">
      <c r="A1221" s="95"/>
      <c r="B1221" s="104"/>
      <c r="C1221" s="97" t="str">
        <f>VLOOKUP(B1221,Stock!$A$2:$B$133,2,0)</f>
        <v>#N/A</v>
      </c>
      <c r="D1221" s="105"/>
      <c r="E1221" s="106"/>
    </row>
    <row r="1222" ht="15.75" customHeight="1">
      <c r="A1222" s="95"/>
      <c r="B1222" s="104"/>
      <c r="C1222" s="97" t="str">
        <f>VLOOKUP(B1222,Stock!$A$2:$B$133,2,0)</f>
        <v>#N/A</v>
      </c>
      <c r="D1222" s="105"/>
      <c r="E1222" s="106"/>
    </row>
    <row r="1223" ht="15.75" customHeight="1">
      <c r="A1223" s="95"/>
      <c r="B1223" s="104"/>
      <c r="C1223" s="97" t="str">
        <f>VLOOKUP(B1223,Stock!$A$2:$B$133,2,0)</f>
        <v>#N/A</v>
      </c>
      <c r="D1223" s="105"/>
      <c r="E1223" s="106"/>
    </row>
    <row r="1224" ht="15.75" customHeight="1">
      <c r="A1224" s="95"/>
      <c r="B1224" s="104"/>
      <c r="C1224" s="97" t="str">
        <f>VLOOKUP(B1224,Stock!$A$2:$B$133,2,0)</f>
        <v>#N/A</v>
      </c>
      <c r="D1224" s="105"/>
      <c r="E1224" s="106"/>
    </row>
    <row r="1225" ht="15.75" customHeight="1">
      <c r="A1225" s="95"/>
      <c r="B1225" s="104"/>
      <c r="C1225" s="97" t="str">
        <f>VLOOKUP(B1225,Stock!$A$2:$B$133,2,0)</f>
        <v>#N/A</v>
      </c>
      <c r="D1225" s="105"/>
      <c r="E1225" s="106"/>
    </row>
    <row r="1226" ht="15.75" customHeight="1">
      <c r="A1226" s="95"/>
      <c r="B1226" s="104"/>
      <c r="C1226" s="97" t="str">
        <f>VLOOKUP(B1226,Stock!$A$2:$B$133,2,0)</f>
        <v>#N/A</v>
      </c>
      <c r="D1226" s="105"/>
      <c r="E1226" s="106"/>
    </row>
    <row r="1227" ht="15.75" customHeight="1">
      <c r="A1227" s="95"/>
      <c r="B1227" s="104"/>
      <c r="C1227" s="97" t="str">
        <f>VLOOKUP(B1227,Stock!$A$2:$B$133,2,0)</f>
        <v>#N/A</v>
      </c>
      <c r="D1227" s="105"/>
      <c r="E1227" s="106"/>
    </row>
    <row r="1228" ht="15.75" customHeight="1">
      <c r="A1228" s="95"/>
      <c r="B1228" s="104"/>
      <c r="C1228" s="97" t="str">
        <f>VLOOKUP(B1228,Stock!$A$2:$B$133,2,0)</f>
        <v>#N/A</v>
      </c>
      <c r="D1228" s="105"/>
      <c r="E1228" s="106"/>
    </row>
    <row r="1229" ht="15.75" customHeight="1">
      <c r="A1229" s="95"/>
      <c r="B1229" s="104"/>
      <c r="C1229" s="97" t="str">
        <f>VLOOKUP(B1229,Stock!$A$2:$B$133,2,0)</f>
        <v>#N/A</v>
      </c>
      <c r="D1229" s="105"/>
      <c r="E1229" s="106"/>
    </row>
    <row r="1230" ht="15.75" customHeight="1">
      <c r="A1230" s="95"/>
      <c r="B1230" s="104"/>
      <c r="C1230" s="97" t="str">
        <f>VLOOKUP(B1230,Stock!$A$2:$B$133,2,0)</f>
        <v>#N/A</v>
      </c>
      <c r="D1230" s="105"/>
      <c r="E1230" s="106"/>
    </row>
    <row r="1231" ht="15.75" customHeight="1">
      <c r="A1231" s="95"/>
      <c r="B1231" s="104"/>
      <c r="C1231" s="97" t="str">
        <f>VLOOKUP(B1231,Stock!$A$2:$B$133,2,0)</f>
        <v>#N/A</v>
      </c>
      <c r="D1231" s="105"/>
      <c r="E1231" s="106"/>
    </row>
    <row r="1232" ht="15.75" customHeight="1">
      <c r="A1232" s="95"/>
      <c r="B1232" s="104"/>
      <c r="C1232" s="97" t="str">
        <f>VLOOKUP(B1232,Stock!$A$2:$B$133,2,0)</f>
        <v>#N/A</v>
      </c>
      <c r="D1232" s="105"/>
      <c r="E1232" s="106"/>
    </row>
    <row r="1233" ht="15.75" customHeight="1">
      <c r="A1233" s="95"/>
      <c r="B1233" s="104"/>
      <c r="C1233" s="97" t="str">
        <f>VLOOKUP(B1233,Stock!$A$2:$B$133,2,0)</f>
        <v>#N/A</v>
      </c>
      <c r="D1233" s="105"/>
      <c r="E1233" s="106"/>
    </row>
    <row r="1234" ht="15.75" customHeight="1">
      <c r="A1234" s="95"/>
      <c r="B1234" s="104"/>
      <c r="C1234" s="97" t="str">
        <f>VLOOKUP(B1234,Stock!$A$2:$B$133,2,0)</f>
        <v>#N/A</v>
      </c>
      <c r="D1234" s="105"/>
      <c r="E1234" s="106"/>
    </row>
    <row r="1235" ht="15.75" customHeight="1">
      <c r="A1235" s="95"/>
      <c r="B1235" s="104"/>
      <c r="C1235" s="97" t="str">
        <f>VLOOKUP(B1235,Stock!$A$2:$B$133,2,0)</f>
        <v>#N/A</v>
      </c>
      <c r="D1235" s="105"/>
      <c r="E1235" s="106"/>
    </row>
    <row r="1236" ht="15.75" customHeight="1">
      <c r="A1236" s="95"/>
      <c r="B1236" s="104"/>
      <c r="C1236" s="97" t="str">
        <f>VLOOKUP(B1236,Stock!$A$2:$B$133,2,0)</f>
        <v>#N/A</v>
      </c>
      <c r="D1236" s="105"/>
      <c r="E1236" s="106"/>
    </row>
    <row r="1237" ht="15.75" customHeight="1">
      <c r="A1237" s="95"/>
      <c r="B1237" s="104"/>
      <c r="C1237" s="97" t="str">
        <f>VLOOKUP(B1237,Stock!$A$2:$B$133,2,0)</f>
        <v>#N/A</v>
      </c>
      <c r="D1237" s="105"/>
      <c r="E1237" s="106"/>
    </row>
    <row r="1238" ht="15.75" customHeight="1">
      <c r="A1238" s="95"/>
      <c r="B1238" s="104"/>
      <c r="C1238" s="97" t="str">
        <f>VLOOKUP(B1238,Stock!$A$2:$B$133,2,0)</f>
        <v>#N/A</v>
      </c>
      <c r="D1238" s="105"/>
      <c r="E1238" s="106"/>
    </row>
    <row r="1239" ht="15.75" customHeight="1">
      <c r="A1239" s="95"/>
      <c r="B1239" s="104"/>
      <c r="C1239" s="97" t="str">
        <f>VLOOKUP(B1239,Stock!$A$2:$B$133,2,0)</f>
        <v>#N/A</v>
      </c>
      <c r="D1239" s="105"/>
      <c r="E1239" s="106"/>
    </row>
    <row r="1240" ht="15.75" customHeight="1">
      <c r="A1240" s="95"/>
      <c r="B1240" s="104"/>
      <c r="C1240" s="97" t="str">
        <f>VLOOKUP(B1240,Stock!$A$2:$B$133,2,0)</f>
        <v>#N/A</v>
      </c>
      <c r="D1240" s="105"/>
      <c r="E1240" s="106"/>
    </row>
    <row r="1241" ht="15.75" customHeight="1">
      <c r="A1241" s="95"/>
      <c r="B1241" s="104"/>
      <c r="C1241" s="97" t="str">
        <f>VLOOKUP(B1241,Stock!$A$2:$B$133,2,0)</f>
        <v>#N/A</v>
      </c>
      <c r="D1241" s="105"/>
      <c r="E1241" s="106"/>
    </row>
    <row r="1242" ht="15.75" customHeight="1">
      <c r="A1242" s="95"/>
      <c r="B1242" s="104"/>
      <c r="C1242" s="97" t="str">
        <f>VLOOKUP(B1242,Stock!$A$2:$B$133,2,0)</f>
        <v>#N/A</v>
      </c>
      <c r="D1242" s="105"/>
      <c r="E1242" s="106"/>
    </row>
    <row r="1243" ht="15.75" customHeight="1">
      <c r="A1243" s="95"/>
      <c r="B1243" s="104"/>
      <c r="C1243" s="97" t="str">
        <f>VLOOKUP(B1243,Stock!$A$2:$B$133,2,0)</f>
        <v>#N/A</v>
      </c>
      <c r="D1243" s="105"/>
      <c r="E1243" s="106"/>
    </row>
    <row r="1244" ht="15.75" customHeight="1">
      <c r="A1244" s="95"/>
      <c r="B1244" s="104"/>
      <c r="C1244" s="97" t="str">
        <f>VLOOKUP(B1244,Stock!$A$2:$B$133,2,0)</f>
        <v>#N/A</v>
      </c>
      <c r="D1244" s="105"/>
      <c r="E1244" s="106"/>
    </row>
    <row r="1245" ht="15.75" customHeight="1">
      <c r="A1245" s="95"/>
      <c r="B1245" s="104"/>
      <c r="C1245" s="97" t="str">
        <f>VLOOKUP(B1245,Stock!$A$2:$B$133,2,0)</f>
        <v>#N/A</v>
      </c>
      <c r="D1245" s="105"/>
      <c r="E1245" s="106"/>
    </row>
    <row r="1246" ht="15.75" customHeight="1">
      <c r="A1246" s="95"/>
      <c r="B1246" s="104"/>
      <c r="C1246" s="97" t="str">
        <f>VLOOKUP(B1246,Stock!$A$2:$B$133,2,0)</f>
        <v>#N/A</v>
      </c>
      <c r="D1246" s="105"/>
      <c r="E1246" s="106"/>
    </row>
    <row r="1247" ht="15.75" customHeight="1">
      <c r="A1247" s="95"/>
      <c r="B1247" s="104"/>
      <c r="C1247" s="97" t="str">
        <f>VLOOKUP(B1247,Stock!$A$2:$B$133,2,0)</f>
        <v>#N/A</v>
      </c>
      <c r="D1247" s="105"/>
      <c r="E1247" s="106"/>
    </row>
    <row r="1248" ht="15.75" customHeight="1">
      <c r="A1248" s="95"/>
      <c r="B1248" s="104"/>
      <c r="C1248" s="97" t="str">
        <f>VLOOKUP(B1248,Stock!$A$2:$B$133,2,0)</f>
        <v>#N/A</v>
      </c>
      <c r="D1248" s="105"/>
      <c r="E1248" s="106"/>
    </row>
    <row r="1249" ht="15.75" customHeight="1">
      <c r="A1249" s="95"/>
      <c r="B1249" s="104"/>
      <c r="C1249" s="97" t="str">
        <f>VLOOKUP(B1249,Stock!$A$2:$B$133,2,0)</f>
        <v>#N/A</v>
      </c>
      <c r="D1249" s="105"/>
      <c r="E1249" s="106"/>
    </row>
    <row r="1250" ht="15.75" customHeight="1">
      <c r="A1250" s="95"/>
      <c r="B1250" s="104"/>
      <c r="C1250" s="97" t="str">
        <f>VLOOKUP(B1250,Stock!$A$2:$B$133,2,0)</f>
        <v>#N/A</v>
      </c>
      <c r="D1250" s="105"/>
      <c r="E1250" s="106"/>
    </row>
    <row r="1251" ht="15.75" customHeight="1">
      <c r="A1251" s="95"/>
      <c r="B1251" s="104"/>
      <c r="C1251" s="97" t="str">
        <f>VLOOKUP(B1251,Stock!$A$2:$B$133,2,0)</f>
        <v>#N/A</v>
      </c>
      <c r="D1251" s="105"/>
      <c r="E1251" s="106"/>
    </row>
    <row r="1252" ht="15.75" customHeight="1">
      <c r="A1252" s="95"/>
      <c r="B1252" s="104"/>
      <c r="C1252" s="97" t="str">
        <f>VLOOKUP(B1252,Stock!$A$2:$B$133,2,0)</f>
        <v>#N/A</v>
      </c>
      <c r="D1252" s="105"/>
      <c r="E1252" s="106"/>
    </row>
    <row r="1253" ht="15.75" customHeight="1">
      <c r="A1253" s="95"/>
      <c r="B1253" s="104"/>
      <c r="C1253" s="97" t="str">
        <f>VLOOKUP(B1253,Stock!$A$2:$B$133,2,0)</f>
        <v>#N/A</v>
      </c>
      <c r="D1253" s="105"/>
      <c r="E1253" s="106"/>
    </row>
    <row r="1254" ht="15.75" customHeight="1">
      <c r="A1254" s="95"/>
      <c r="B1254" s="104"/>
      <c r="C1254" s="97" t="str">
        <f>VLOOKUP(B1254,Stock!$A$2:$B$133,2,0)</f>
        <v>#N/A</v>
      </c>
      <c r="D1254" s="105"/>
      <c r="E1254" s="106"/>
    </row>
    <row r="1255" ht="15.75" customHeight="1">
      <c r="A1255" s="95"/>
      <c r="B1255" s="104"/>
      <c r="C1255" s="97" t="str">
        <f>VLOOKUP(B1255,Stock!$A$2:$B$133,2,0)</f>
        <v>#N/A</v>
      </c>
      <c r="D1255" s="105"/>
      <c r="E1255" s="106"/>
    </row>
    <row r="1256" ht="15.75" customHeight="1">
      <c r="A1256" s="95"/>
      <c r="B1256" s="104"/>
      <c r="C1256" s="97" t="str">
        <f>VLOOKUP(B1256,Stock!$A$2:$B$133,2,0)</f>
        <v>#N/A</v>
      </c>
      <c r="D1256" s="105"/>
      <c r="E1256" s="106"/>
    </row>
    <row r="1257" ht="15.75" customHeight="1">
      <c r="A1257" s="95"/>
      <c r="B1257" s="104"/>
      <c r="C1257" s="97" t="str">
        <f>VLOOKUP(B1257,Stock!$A$2:$B$133,2,0)</f>
        <v>#N/A</v>
      </c>
      <c r="D1257" s="105"/>
      <c r="E1257" s="106"/>
    </row>
    <row r="1258" ht="15.75" customHeight="1">
      <c r="A1258" s="95"/>
      <c r="B1258" s="104"/>
      <c r="C1258" s="97" t="str">
        <f>VLOOKUP(B1258,Stock!$A$2:$B$133,2,0)</f>
        <v>#N/A</v>
      </c>
      <c r="D1258" s="105"/>
      <c r="E1258" s="106"/>
    </row>
    <row r="1259" ht="15.75" customHeight="1">
      <c r="A1259" s="95"/>
      <c r="B1259" s="104"/>
      <c r="C1259" s="97" t="str">
        <f>VLOOKUP(B1259,Stock!$A$2:$B$133,2,0)</f>
        <v>#N/A</v>
      </c>
      <c r="D1259" s="105"/>
      <c r="E1259" s="106"/>
    </row>
    <row r="1260" ht="15.75" customHeight="1">
      <c r="A1260" s="95"/>
      <c r="B1260" s="104"/>
      <c r="C1260" s="97" t="str">
        <f>VLOOKUP(B1260,Stock!$A$2:$B$133,2,0)</f>
        <v>#N/A</v>
      </c>
      <c r="D1260" s="105"/>
      <c r="E1260" s="106"/>
    </row>
    <row r="1261" ht="15.75" customHeight="1">
      <c r="A1261" s="95"/>
      <c r="B1261" s="104"/>
      <c r="C1261" s="97" t="str">
        <f>VLOOKUP(B1261,Stock!$A$2:$B$133,2,0)</f>
        <v>#N/A</v>
      </c>
      <c r="D1261" s="105"/>
      <c r="E1261" s="106"/>
    </row>
    <row r="1262" ht="15.75" customHeight="1">
      <c r="A1262" s="95"/>
      <c r="B1262" s="104"/>
      <c r="C1262" s="97" t="str">
        <f>VLOOKUP(B1262,Stock!$A$2:$B$133,2,0)</f>
        <v>#N/A</v>
      </c>
      <c r="D1262" s="105"/>
      <c r="E1262" s="106"/>
    </row>
    <row r="1263" ht="15.75" customHeight="1">
      <c r="A1263" s="95"/>
      <c r="B1263" s="104"/>
      <c r="C1263" s="97" t="str">
        <f>VLOOKUP(B1263,Stock!$A$2:$B$133,2,0)</f>
        <v>#N/A</v>
      </c>
      <c r="D1263" s="105"/>
      <c r="E1263" s="106"/>
    </row>
    <row r="1264" ht="15.75" customHeight="1">
      <c r="A1264" s="95"/>
      <c r="B1264" s="104"/>
      <c r="C1264" s="97" t="str">
        <f>VLOOKUP(B1264,Stock!$A$2:$B$133,2,0)</f>
        <v>#N/A</v>
      </c>
      <c r="D1264" s="105"/>
      <c r="E1264" s="106"/>
    </row>
    <row r="1265" ht="15.75" customHeight="1">
      <c r="A1265" s="95"/>
      <c r="B1265" s="104"/>
      <c r="C1265" s="97" t="str">
        <f>VLOOKUP(B1265,Stock!$A$2:$B$133,2,0)</f>
        <v>#N/A</v>
      </c>
      <c r="D1265" s="105"/>
      <c r="E1265" s="106"/>
    </row>
    <row r="1266" ht="15.75" customHeight="1">
      <c r="A1266" s="95"/>
      <c r="B1266" s="104"/>
      <c r="C1266" s="97" t="str">
        <f>VLOOKUP(B1266,Stock!$A$2:$B$133,2,0)</f>
        <v>#N/A</v>
      </c>
      <c r="D1266" s="105"/>
      <c r="E1266" s="106"/>
    </row>
    <row r="1267" ht="15.75" customHeight="1">
      <c r="A1267" s="95"/>
      <c r="B1267" s="104"/>
      <c r="C1267" s="97" t="str">
        <f>VLOOKUP(B1267,Stock!$A$2:$B$133,2,0)</f>
        <v>#N/A</v>
      </c>
      <c r="D1267" s="105"/>
      <c r="E1267" s="106"/>
    </row>
    <row r="1268" ht="15.75" customHeight="1">
      <c r="A1268" s="95"/>
      <c r="B1268" s="104"/>
      <c r="C1268" s="97" t="str">
        <f>VLOOKUP(B1268,Stock!$A$2:$B$133,2,0)</f>
        <v>#N/A</v>
      </c>
      <c r="D1268" s="105"/>
      <c r="E1268" s="106"/>
    </row>
    <row r="1269" ht="15.75" customHeight="1">
      <c r="A1269" s="95"/>
      <c r="B1269" s="104"/>
      <c r="C1269" s="97" t="str">
        <f>VLOOKUP(B1269,Stock!$A$2:$B$133,2,0)</f>
        <v>#N/A</v>
      </c>
      <c r="D1269" s="105"/>
      <c r="E1269" s="106"/>
    </row>
    <row r="1270" ht="15.75" customHeight="1">
      <c r="A1270" s="95"/>
      <c r="B1270" s="104"/>
      <c r="C1270" s="97" t="str">
        <f>VLOOKUP(B1270,Stock!$A$2:$B$133,2,0)</f>
        <v>#N/A</v>
      </c>
      <c r="D1270" s="105"/>
      <c r="E1270" s="106"/>
    </row>
    <row r="1271" ht="15.75" customHeight="1">
      <c r="A1271" s="95"/>
      <c r="B1271" s="104"/>
      <c r="C1271" s="97" t="str">
        <f>VLOOKUP(B1271,Stock!$A$2:$B$133,2,0)</f>
        <v>#N/A</v>
      </c>
      <c r="D1271" s="105"/>
      <c r="E1271" s="106"/>
    </row>
    <row r="1272" ht="15.75" customHeight="1">
      <c r="A1272" s="95"/>
      <c r="B1272" s="104"/>
      <c r="C1272" s="97" t="str">
        <f>VLOOKUP(B1272,Stock!$A$2:$B$133,2,0)</f>
        <v>#N/A</v>
      </c>
      <c r="D1272" s="105"/>
      <c r="E1272" s="106"/>
    </row>
    <row r="1273" ht="15.75" customHeight="1">
      <c r="A1273" s="95"/>
      <c r="B1273" s="104"/>
      <c r="C1273" s="97" t="str">
        <f>VLOOKUP(B1273,Stock!$A$2:$B$133,2,0)</f>
        <v>#N/A</v>
      </c>
      <c r="D1273" s="105"/>
      <c r="E1273" s="106"/>
    </row>
    <row r="1274" ht="15.75" customHeight="1">
      <c r="A1274" s="95"/>
      <c r="B1274" s="104"/>
      <c r="C1274" s="97" t="str">
        <f>VLOOKUP(B1274,Stock!$A$2:$B$133,2,0)</f>
        <v>#N/A</v>
      </c>
      <c r="D1274" s="105"/>
      <c r="E1274" s="106"/>
    </row>
    <row r="1275" ht="15.75" customHeight="1">
      <c r="A1275" s="95"/>
      <c r="B1275" s="104"/>
      <c r="C1275" s="97" t="str">
        <f>VLOOKUP(B1275,Stock!$A$2:$B$133,2,0)</f>
        <v>#N/A</v>
      </c>
      <c r="D1275" s="105"/>
      <c r="E1275" s="106"/>
    </row>
    <row r="1276" ht="15.75" customHeight="1">
      <c r="A1276" s="95"/>
      <c r="B1276" s="104"/>
      <c r="C1276" s="97" t="str">
        <f>VLOOKUP(B1276,Stock!$A$2:$B$133,2,0)</f>
        <v>#N/A</v>
      </c>
      <c r="D1276" s="105"/>
      <c r="E1276" s="106"/>
    </row>
    <row r="1277" ht="15.75" customHeight="1">
      <c r="A1277" s="95"/>
      <c r="B1277" s="104"/>
      <c r="C1277" s="97" t="str">
        <f>VLOOKUP(B1277,Stock!$A$2:$B$133,2,0)</f>
        <v>#N/A</v>
      </c>
      <c r="D1277" s="105"/>
      <c r="E1277" s="106"/>
    </row>
    <row r="1278" ht="15.75" customHeight="1">
      <c r="A1278" s="95"/>
      <c r="B1278" s="104"/>
      <c r="C1278" s="97" t="str">
        <f>VLOOKUP(B1278,Stock!$A$2:$B$133,2,0)</f>
        <v>#N/A</v>
      </c>
      <c r="D1278" s="105"/>
      <c r="E1278" s="106"/>
    </row>
    <row r="1279" ht="15.75" customHeight="1">
      <c r="A1279" s="95"/>
      <c r="B1279" s="104"/>
      <c r="C1279" s="97" t="str">
        <f>VLOOKUP(B1279,Stock!$A$2:$B$133,2,0)</f>
        <v>#N/A</v>
      </c>
      <c r="D1279" s="105"/>
      <c r="E1279" s="106"/>
    </row>
    <row r="1280" ht="15.75" customHeight="1">
      <c r="A1280" s="95"/>
      <c r="B1280" s="104"/>
      <c r="C1280" s="97" t="str">
        <f>VLOOKUP(B1280,Stock!$A$2:$B$133,2,0)</f>
        <v>#N/A</v>
      </c>
      <c r="D1280" s="105"/>
      <c r="E1280" s="106"/>
    </row>
    <row r="1281" ht="15.75" customHeight="1">
      <c r="A1281" s="95"/>
      <c r="B1281" s="104"/>
      <c r="C1281" s="97" t="str">
        <f>VLOOKUP(B1281,Stock!$A$2:$B$133,2,0)</f>
        <v>#N/A</v>
      </c>
      <c r="D1281" s="105"/>
      <c r="E1281" s="106"/>
    </row>
    <row r="1282" ht="15.75" customHeight="1">
      <c r="A1282" s="95"/>
      <c r="B1282" s="104"/>
      <c r="C1282" s="97" t="str">
        <f>VLOOKUP(B1282,Stock!$A$2:$B$133,2,0)</f>
        <v>#N/A</v>
      </c>
      <c r="D1282" s="105"/>
      <c r="E1282" s="106"/>
    </row>
    <row r="1283" ht="15.75" customHeight="1">
      <c r="A1283" s="95"/>
      <c r="B1283" s="104"/>
      <c r="C1283" s="97" t="str">
        <f>VLOOKUP(B1283,Stock!$A$2:$B$133,2,0)</f>
        <v>#N/A</v>
      </c>
      <c r="D1283" s="105"/>
      <c r="E1283" s="106"/>
    </row>
    <row r="1284" ht="15.75" customHeight="1">
      <c r="A1284" s="95"/>
      <c r="B1284" s="104"/>
      <c r="C1284" s="97" t="str">
        <f>VLOOKUP(B1284,Stock!$A$2:$B$133,2,0)</f>
        <v>#N/A</v>
      </c>
      <c r="D1284" s="105"/>
      <c r="E1284" s="106"/>
    </row>
    <row r="1285" ht="15.75" customHeight="1">
      <c r="A1285" s="95"/>
      <c r="B1285" s="104"/>
      <c r="C1285" s="97" t="str">
        <f>VLOOKUP(B1285,Stock!$A$2:$B$133,2,0)</f>
        <v>#N/A</v>
      </c>
      <c r="D1285" s="105"/>
      <c r="E1285" s="106"/>
    </row>
    <row r="1286" ht="15.75" customHeight="1">
      <c r="A1286" s="95"/>
      <c r="B1286" s="104"/>
      <c r="C1286" s="97" t="str">
        <f>VLOOKUP(B1286,Stock!$A$2:$B$133,2,0)</f>
        <v>#N/A</v>
      </c>
      <c r="D1286" s="105"/>
      <c r="E1286" s="106"/>
    </row>
    <row r="1287" ht="15.75" customHeight="1">
      <c r="A1287" s="95"/>
      <c r="B1287" s="104"/>
      <c r="C1287" s="97" t="str">
        <f>VLOOKUP(B1287,Stock!$A$2:$B$133,2,0)</f>
        <v>#N/A</v>
      </c>
      <c r="D1287" s="105"/>
      <c r="E1287" s="106"/>
    </row>
    <row r="1288" ht="15.75" customHeight="1">
      <c r="A1288" s="95"/>
      <c r="B1288" s="104"/>
      <c r="C1288" s="97" t="str">
        <f>VLOOKUP(B1288,Stock!$A$2:$B$133,2,0)</f>
        <v>#N/A</v>
      </c>
      <c r="D1288" s="105"/>
      <c r="E1288" s="106"/>
    </row>
    <row r="1289" ht="15.75" customHeight="1">
      <c r="A1289" s="95"/>
      <c r="B1289" s="104"/>
      <c r="C1289" s="97" t="str">
        <f>VLOOKUP(B1289,Stock!$A$2:$B$133,2,0)</f>
        <v>#N/A</v>
      </c>
      <c r="D1289" s="105"/>
      <c r="E1289" s="106"/>
    </row>
    <row r="1290" ht="15.75" customHeight="1">
      <c r="A1290" s="95"/>
      <c r="B1290" s="104"/>
      <c r="C1290" s="97" t="str">
        <f>VLOOKUP(B1290,Stock!$A$2:$B$133,2,0)</f>
        <v>#N/A</v>
      </c>
      <c r="D1290" s="105"/>
      <c r="E1290" s="106"/>
    </row>
    <row r="1291" ht="15.75" customHeight="1">
      <c r="A1291" s="95"/>
      <c r="B1291" s="104"/>
      <c r="C1291" s="97" t="str">
        <f>VLOOKUP(B1291,Stock!$A$2:$B$133,2,0)</f>
        <v>#N/A</v>
      </c>
      <c r="D1291" s="105"/>
      <c r="E1291" s="106"/>
    </row>
    <row r="1292" ht="15.75" customHeight="1">
      <c r="A1292" s="95"/>
      <c r="B1292" s="104"/>
      <c r="C1292" s="97" t="str">
        <f>VLOOKUP(B1292,Stock!$A$2:$B$133,2,0)</f>
        <v>#N/A</v>
      </c>
      <c r="D1292" s="105"/>
      <c r="E1292" s="106"/>
    </row>
    <row r="1293" ht="15.75" customHeight="1">
      <c r="A1293" s="95"/>
      <c r="B1293" s="104"/>
      <c r="C1293" s="97" t="str">
        <f>VLOOKUP(B1293,Stock!$A$2:$B$133,2,0)</f>
        <v>#N/A</v>
      </c>
      <c r="D1293" s="105"/>
      <c r="E1293" s="106"/>
    </row>
    <row r="1294" ht="15.75" customHeight="1">
      <c r="A1294" s="95"/>
      <c r="B1294" s="104"/>
      <c r="C1294" s="97" t="str">
        <f>VLOOKUP(B1294,Stock!$A$2:$B$133,2,0)</f>
        <v>#N/A</v>
      </c>
      <c r="D1294" s="105"/>
      <c r="E1294" s="106"/>
    </row>
    <row r="1295" ht="15.75" customHeight="1">
      <c r="A1295" s="95"/>
      <c r="B1295" s="104"/>
      <c r="C1295" s="97" t="str">
        <f>VLOOKUP(B1295,Stock!$A$2:$B$133,2,0)</f>
        <v>#N/A</v>
      </c>
      <c r="D1295" s="105"/>
      <c r="E1295" s="106"/>
    </row>
    <row r="1296" ht="15.75" customHeight="1">
      <c r="A1296" s="95"/>
      <c r="B1296" s="104"/>
      <c r="C1296" s="97" t="str">
        <f>VLOOKUP(B1296,Stock!$A$2:$B$133,2,0)</f>
        <v>#N/A</v>
      </c>
      <c r="D1296" s="105"/>
      <c r="E1296" s="106"/>
    </row>
    <row r="1297" ht="15.75" customHeight="1">
      <c r="A1297" s="95"/>
      <c r="B1297" s="104"/>
      <c r="C1297" s="97" t="str">
        <f>VLOOKUP(B1297,Stock!$A$2:$B$133,2,0)</f>
        <v>#N/A</v>
      </c>
      <c r="D1297" s="105"/>
      <c r="E1297" s="106"/>
    </row>
    <row r="1298" ht="15.75" customHeight="1">
      <c r="A1298" s="95"/>
      <c r="B1298" s="104"/>
      <c r="C1298" s="97" t="str">
        <f>VLOOKUP(B1298,Stock!$A$2:$B$133,2,0)</f>
        <v>#N/A</v>
      </c>
      <c r="D1298" s="105"/>
      <c r="E1298" s="106"/>
    </row>
    <row r="1299" ht="15.75" customHeight="1">
      <c r="A1299" s="95"/>
      <c r="B1299" s="104"/>
      <c r="C1299" s="97" t="str">
        <f>VLOOKUP(B1299,Stock!$A$2:$B$133,2,0)</f>
        <v>#N/A</v>
      </c>
      <c r="D1299" s="105"/>
      <c r="E1299" s="106"/>
    </row>
    <row r="1300" ht="15.75" customHeight="1">
      <c r="A1300" s="95"/>
      <c r="B1300" s="104"/>
      <c r="C1300" s="97" t="str">
        <f>VLOOKUP(B1300,Stock!$A$2:$B$133,2,0)</f>
        <v>#N/A</v>
      </c>
      <c r="D1300" s="105"/>
      <c r="E1300" s="106"/>
    </row>
    <row r="1301" ht="15.75" customHeight="1">
      <c r="A1301" s="95"/>
      <c r="B1301" s="104"/>
      <c r="C1301" s="97" t="str">
        <f>VLOOKUP(B1301,Stock!$A$2:$B$133,2,0)</f>
        <v>#N/A</v>
      </c>
      <c r="D1301" s="105"/>
      <c r="E1301" s="106"/>
    </row>
    <row r="1302" ht="15.75" customHeight="1">
      <c r="A1302" s="95"/>
      <c r="B1302" s="104"/>
      <c r="C1302" s="97" t="str">
        <f>VLOOKUP(B1302,Stock!$A$2:$B$133,2,0)</f>
        <v>#N/A</v>
      </c>
      <c r="D1302" s="105"/>
      <c r="E1302" s="106"/>
    </row>
    <row r="1303" ht="15.75" customHeight="1">
      <c r="A1303" s="95"/>
      <c r="B1303" s="104"/>
      <c r="C1303" s="97" t="str">
        <f>VLOOKUP(B1303,Stock!$A$2:$B$133,2,0)</f>
        <v>#N/A</v>
      </c>
      <c r="D1303" s="105"/>
      <c r="E1303" s="106"/>
    </row>
    <row r="1304" ht="15.75" customHeight="1">
      <c r="A1304" s="95"/>
      <c r="B1304" s="104"/>
      <c r="C1304" s="97" t="str">
        <f>VLOOKUP(B1304,Stock!$A$2:$B$133,2,0)</f>
        <v>#N/A</v>
      </c>
      <c r="D1304" s="105"/>
      <c r="E1304" s="106"/>
    </row>
    <row r="1305" ht="15.75" customHeight="1">
      <c r="A1305" s="95"/>
      <c r="B1305" s="104"/>
      <c r="C1305" s="97" t="str">
        <f>VLOOKUP(B1305,Stock!$A$2:$B$133,2,0)</f>
        <v>#N/A</v>
      </c>
      <c r="D1305" s="105"/>
      <c r="E1305" s="106"/>
    </row>
    <row r="1306" ht="15.75" customHeight="1">
      <c r="A1306" s="95"/>
      <c r="B1306" s="104"/>
      <c r="C1306" s="97" t="str">
        <f>VLOOKUP(B1306,Stock!$A$2:$B$133,2,0)</f>
        <v>#N/A</v>
      </c>
      <c r="D1306" s="105"/>
      <c r="E1306" s="106"/>
    </row>
    <row r="1307" ht="15.75" customHeight="1">
      <c r="A1307" s="95"/>
      <c r="B1307" s="104"/>
      <c r="C1307" s="97" t="str">
        <f>VLOOKUP(B1307,Stock!$A$2:$B$133,2,0)</f>
        <v>#N/A</v>
      </c>
      <c r="D1307" s="105"/>
      <c r="E1307" s="106"/>
    </row>
    <row r="1308" ht="15.75" customHeight="1">
      <c r="A1308" s="95"/>
      <c r="B1308" s="104"/>
      <c r="C1308" s="97" t="str">
        <f>VLOOKUP(B1308,Stock!$A$2:$B$133,2,0)</f>
        <v>#N/A</v>
      </c>
      <c r="D1308" s="105"/>
      <c r="E1308" s="106"/>
    </row>
    <row r="1309" ht="15.75" customHeight="1">
      <c r="A1309" s="95"/>
      <c r="B1309" s="104"/>
      <c r="C1309" s="97" t="str">
        <f>VLOOKUP(B1309,Stock!$A$2:$B$133,2,0)</f>
        <v>#N/A</v>
      </c>
      <c r="D1309" s="105"/>
      <c r="E1309" s="106"/>
    </row>
    <row r="1310" ht="15.75" customHeight="1">
      <c r="A1310" s="95"/>
      <c r="B1310" s="104"/>
      <c r="C1310" s="97" t="str">
        <f>VLOOKUP(B1310,Stock!$A$2:$B$133,2,0)</f>
        <v>#N/A</v>
      </c>
      <c r="D1310" s="105"/>
      <c r="E1310" s="106"/>
    </row>
    <row r="1311" ht="15.75" customHeight="1">
      <c r="A1311" s="95"/>
      <c r="B1311" s="104"/>
      <c r="C1311" s="97" t="str">
        <f>VLOOKUP(B1311,Stock!$A$2:$B$133,2,0)</f>
        <v>#N/A</v>
      </c>
      <c r="D1311" s="105"/>
      <c r="E1311" s="106"/>
    </row>
    <row r="1312" ht="15.75" customHeight="1">
      <c r="A1312" s="95"/>
      <c r="B1312" s="104"/>
      <c r="C1312" s="97" t="str">
        <f>VLOOKUP(B1312,Stock!$A$2:$B$133,2,0)</f>
        <v>#N/A</v>
      </c>
      <c r="D1312" s="105"/>
      <c r="E1312" s="106"/>
    </row>
    <row r="1313" ht="15.75" customHeight="1">
      <c r="A1313" s="95"/>
      <c r="B1313" s="104"/>
      <c r="C1313" s="97" t="str">
        <f>VLOOKUP(B1313,Stock!$A$2:$B$133,2,0)</f>
        <v>#N/A</v>
      </c>
      <c r="D1313" s="105"/>
      <c r="E1313" s="106"/>
    </row>
    <row r="1314" ht="15.75" customHeight="1">
      <c r="A1314" s="95"/>
      <c r="B1314" s="104"/>
      <c r="C1314" s="97" t="str">
        <f>VLOOKUP(B1314,Stock!$A$2:$B$133,2,0)</f>
        <v>#N/A</v>
      </c>
      <c r="D1314" s="105"/>
      <c r="E1314" s="106"/>
    </row>
    <row r="1315" ht="15.75" customHeight="1">
      <c r="A1315" s="95"/>
      <c r="B1315" s="104"/>
      <c r="C1315" s="97" t="str">
        <f>VLOOKUP(B1315,Stock!$A$2:$B$133,2,0)</f>
        <v>#N/A</v>
      </c>
      <c r="D1315" s="105"/>
      <c r="E1315" s="106"/>
    </row>
    <row r="1316" ht="15.75" customHeight="1">
      <c r="A1316" s="95"/>
      <c r="B1316" s="104"/>
      <c r="C1316" s="97" t="str">
        <f>VLOOKUP(B1316,Stock!$A$2:$B$133,2,0)</f>
        <v>#N/A</v>
      </c>
      <c r="D1316" s="105"/>
      <c r="E1316" s="106"/>
    </row>
    <row r="1317" ht="15.75" customHeight="1">
      <c r="A1317" s="95"/>
      <c r="B1317" s="104"/>
      <c r="C1317" s="97" t="str">
        <f>VLOOKUP(B1317,Stock!$A$2:$B$133,2,0)</f>
        <v>#N/A</v>
      </c>
      <c r="D1317" s="105"/>
      <c r="E1317" s="106"/>
    </row>
    <row r="1318" ht="15.75" customHeight="1">
      <c r="A1318" s="95"/>
      <c r="B1318" s="104"/>
      <c r="C1318" s="97" t="str">
        <f>VLOOKUP(B1318,Stock!$A$2:$B$133,2,0)</f>
        <v>#N/A</v>
      </c>
      <c r="D1318" s="105"/>
      <c r="E1318" s="106"/>
    </row>
    <row r="1319" ht="15.75" customHeight="1">
      <c r="A1319" s="95"/>
      <c r="B1319" s="104"/>
      <c r="C1319" s="97" t="str">
        <f>VLOOKUP(B1319,Stock!$A$2:$B$133,2,0)</f>
        <v>#N/A</v>
      </c>
      <c r="D1319" s="105"/>
      <c r="E1319" s="106"/>
    </row>
    <row r="1320" ht="15.75" customHeight="1">
      <c r="A1320" s="95"/>
      <c r="B1320" s="104"/>
      <c r="C1320" s="97" t="str">
        <f>VLOOKUP(B1320,Stock!$A$2:$B$133,2,0)</f>
        <v>#N/A</v>
      </c>
      <c r="D1320" s="105"/>
      <c r="E1320" s="106"/>
    </row>
    <row r="1321" ht="15.75" customHeight="1">
      <c r="A1321" s="95"/>
      <c r="B1321" s="104"/>
      <c r="C1321" s="97" t="str">
        <f>VLOOKUP(B1321,Stock!$A$2:$B$133,2,0)</f>
        <v>#N/A</v>
      </c>
      <c r="D1321" s="105"/>
      <c r="E1321" s="106"/>
    </row>
    <row r="1322" ht="15.75" customHeight="1">
      <c r="A1322" s="95"/>
      <c r="B1322" s="104"/>
      <c r="C1322" s="97" t="str">
        <f>VLOOKUP(B1322,Stock!$A$2:$B$133,2,0)</f>
        <v>#N/A</v>
      </c>
      <c r="D1322" s="105"/>
      <c r="E1322" s="106"/>
    </row>
    <row r="1323" ht="15.75" customHeight="1">
      <c r="A1323" s="95"/>
      <c r="B1323" s="104"/>
      <c r="C1323" s="97" t="str">
        <f>VLOOKUP(B1323,Stock!$A$2:$B$133,2,0)</f>
        <v>#N/A</v>
      </c>
      <c r="D1323" s="105"/>
      <c r="E1323" s="106"/>
    </row>
    <row r="1324" ht="15.75" customHeight="1">
      <c r="A1324" s="95"/>
      <c r="B1324" s="104"/>
      <c r="C1324" s="97" t="str">
        <f>VLOOKUP(B1324,Stock!$A$2:$B$133,2,0)</f>
        <v>#N/A</v>
      </c>
      <c r="D1324" s="105"/>
      <c r="E1324" s="106"/>
    </row>
    <row r="1325" ht="15.75" customHeight="1">
      <c r="A1325" s="95"/>
      <c r="B1325" s="104"/>
      <c r="C1325" s="97" t="str">
        <f>VLOOKUP(B1325,Stock!$A$2:$B$133,2,0)</f>
        <v>#N/A</v>
      </c>
      <c r="D1325" s="105"/>
      <c r="E1325" s="106"/>
    </row>
    <row r="1326" ht="15.75" customHeight="1">
      <c r="A1326" s="95"/>
      <c r="B1326" s="104"/>
      <c r="C1326" s="97" t="str">
        <f>VLOOKUP(B1326,Stock!$A$2:$B$133,2,0)</f>
        <v>#N/A</v>
      </c>
      <c r="D1326" s="105"/>
      <c r="E1326" s="106"/>
    </row>
    <row r="1327" ht="15.75" customHeight="1">
      <c r="A1327" s="95"/>
      <c r="B1327" s="104"/>
      <c r="C1327" s="97" t="str">
        <f>VLOOKUP(B1327,Stock!$A$2:$B$133,2,0)</f>
        <v>#N/A</v>
      </c>
      <c r="D1327" s="105"/>
      <c r="E1327" s="106"/>
    </row>
    <row r="1328" ht="15.75" customHeight="1">
      <c r="A1328" s="95"/>
      <c r="B1328" s="104"/>
      <c r="C1328" s="97" t="str">
        <f>VLOOKUP(B1328,Stock!$A$2:$B$133,2,0)</f>
        <v>#N/A</v>
      </c>
      <c r="D1328" s="105"/>
      <c r="E1328" s="106"/>
    </row>
    <row r="1329" ht="15.75" customHeight="1">
      <c r="A1329" s="95"/>
      <c r="B1329" s="104"/>
      <c r="C1329" s="97" t="str">
        <f>VLOOKUP(B1329,Stock!$A$2:$B$133,2,0)</f>
        <v>#N/A</v>
      </c>
      <c r="D1329" s="105"/>
      <c r="E1329" s="106"/>
    </row>
    <row r="1330" ht="15.75" customHeight="1">
      <c r="A1330" s="95"/>
      <c r="B1330" s="104"/>
      <c r="C1330" s="97" t="str">
        <f>VLOOKUP(B1330,Stock!$A$2:$B$133,2,0)</f>
        <v>#N/A</v>
      </c>
      <c r="D1330" s="105"/>
      <c r="E1330" s="106"/>
    </row>
    <row r="1331" ht="15.75" customHeight="1">
      <c r="A1331" s="95"/>
      <c r="B1331" s="104"/>
      <c r="C1331" s="97" t="str">
        <f>VLOOKUP(B1331,Stock!$A$2:$B$133,2,0)</f>
        <v>#N/A</v>
      </c>
      <c r="D1331" s="105"/>
      <c r="E1331" s="106"/>
    </row>
    <row r="1332" ht="15.75" customHeight="1">
      <c r="A1332" s="95"/>
      <c r="B1332" s="104"/>
      <c r="C1332" s="97" t="str">
        <f>VLOOKUP(B1332,Stock!$A$2:$B$133,2,0)</f>
        <v>#N/A</v>
      </c>
      <c r="D1332" s="105"/>
      <c r="E1332" s="106"/>
    </row>
    <row r="1333" ht="15.75" customHeight="1">
      <c r="A1333" s="95"/>
      <c r="B1333" s="104"/>
      <c r="C1333" s="97" t="str">
        <f>VLOOKUP(B1333,Stock!$A$2:$B$133,2,0)</f>
        <v>#N/A</v>
      </c>
      <c r="D1333" s="105"/>
      <c r="E1333" s="106"/>
    </row>
    <row r="1334" ht="15.75" customHeight="1">
      <c r="A1334" s="95"/>
      <c r="B1334" s="104"/>
      <c r="C1334" s="97" t="str">
        <f>VLOOKUP(B1334,Stock!$A$2:$B$133,2,0)</f>
        <v>#N/A</v>
      </c>
      <c r="D1334" s="105"/>
      <c r="E1334" s="106"/>
    </row>
    <row r="1335" ht="15.75" customHeight="1">
      <c r="A1335" s="95"/>
      <c r="B1335" s="104"/>
      <c r="C1335" s="97" t="str">
        <f>VLOOKUP(B1335,Stock!$A$2:$B$133,2,0)</f>
        <v>#N/A</v>
      </c>
      <c r="D1335" s="105"/>
      <c r="E1335" s="106"/>
    </row>
    <row r="1336" ht="15.75" customHeight="1">
      <c r="A1336" s="95"/>
      <c r="B1336" s="104"/>
      <c r="C1336" s="97" t="str">
        <f>VLOOKUP(B1336,Stock!$A$2:$B$133,2,0)</f>
        <v>#N/A</v>
      </c>
      <c r="D1336" s="105"/>
      <c r="E1336" s="106"/>
    </row>
    <row r="1337" ht="15.75" customHeight="1">
      <c r="A1337" s="95"/>
      <c r="B1337" s="104"/>
      <c r="C1337" s="97" t="str">
        <f>VLOOKUP(B1337,Stock!$A$2:$B$133,2,0)</f>
        <v>#N/A</v>
      </c>
      <c r="D1337" s="105"/>
      <c r="E1337" s="106"/>
    </row>
    <row r="1338" ht="15.75" customHeight="1">
      <c r="A1338" s="95"/>
      <c r="B1338" s="104"/>
      <c r="C1338" s="97" t="str">
        <f>VLOOKUP(B1338,Stock!$A$2:$B$133,2,0)</f>
        <v>#N/A</v>
      </c>
      <c r="D1338" s="105"/>
      <c r="E1338" s="106"/>
    </row>
    <row r="1339" ht="15.75" customHeight="1">
      <c r="A1339" s="95"/>
      <c r="B1339" s="104"/>
      <c r="C1339" s="97" t="str">
        <f>VLOOKUP(B1339,Stock!$A$2:$B$133,2,0)</f>
        <v>#N/A</v>
      </c>
      <c r="D1339" s="105"/>
      <c r="E1339" s="106"/>
    </row>
    <row r="1340" ht="15.75" customHeight="1">
      <c r="A1340" s="95"/>
      <c r="B1340" s="104"/>
      <c r="C1340" s="97" t="str">
        <f>VLOOKUP(B1340,Stock!$A$2:$B$133,2,0)</f>
        <v>#N/A</v>
      </c>
      <c r="D1340" s="105"/>
      <c r="E1340" s="106"/>
    </row>
    <row r="1341" ht="15.75" customHeight="1">
      <c r="A1341" s="95"/>
      <c r="B1341" s="104"/>
      <c r="C1341" s="97" t="str">
        <f>VLOOKUP(B1341,Stock!$A$2:$B$133,2,0)</f>
        <v>#N/A</v>
      </c>
      <c r="D1341" s="105"/>
      <c r="E1341" s="106"/>
    </row>
    <row r="1342" ht="15.75" customHeight="1">
      <c r="A1342" s="95"/>
      <c r="B1342" s="104"/>
      <c r="C1342" s="97" t="str">
        <f>VLOOKUP(B1342,Stock!$A$2:$B$133,2,0)</f>
        <v>#N/A</v>
      </c>
      <c r="D1342" s="105"/>
      <c r="E1342" s="106"/>
    </row>
    <row r="1343" ht="15.75" customHeight="1">
      <c r="A1343" s="95"/>
      <c r="B1343" s="104"/>
      <c r="C1343" s="97" t="str">
        <f>VLOOKUP(B1343,Stock!$A$2:$B$133,2,0)</f>
        <v>#N/A</v>
      </c>
      <c r="D1343" s="105"/>
      <c r="E1343" s="106"/>
    </row>
    <row r="1344" ht="15.75" customHeight="1">
      <c r="A1344" s="95"/>
      <c r="B1344" s="104"/>
      <c r="C1344" s="97" t="str">
        <f>VLOOKUP(B1344,Stock!$A$2:$B$133,2,0)</f>
        <v>#N/A</v>
      </c>
      <c r="D1344" s="105"/>
      <c r="E1344" s="106"/>
    </row>
    <row r="1345" ht="15.75" customHeight="1">
      <c r="A1345" s="95"/>
      <c r="B1345" s="104"/>
      <c r="C1345" s="97" t="str">
        <f>VLOOKUP(B1345,Stock!$A$2:$B$133,2,0)</f>
        <v>#N/A</v>
      </c>
      <c r="D1345" s="105"/>
      <c r="E1345" s="106"/>
    </row>
    <row r="1346" ht="15.75" customHeight="1">
      <c r="A1346" s="95"/>
      <c r="B1346" s="104"/>
      <c r="C1346" s="97" t="str">
        <f>VLOOKUP(B1346,Stock!$A$2:$B$133,2,0)</f>
        <v>#N/A</v>
      </c>
      <c r="D1346" s="105"/>
      <c r="E1346" s="106"/>
    </row>
    <row r="1347" ht="15.75" customHeight="1">
      <c r="A1347" s="95"/>
      <c r="B1347" s="104"/>
      <c r="C1347" s="97" t="str">
        <f>VLOOKUP(B1347,Stock!$A$2:$B$133,2,0)</f>
        <v>#N/A</v>
      </c>
      <c r="D1347" s="105"/>
      <c r="E1347" s="106"/>
    </row>
    <row r="1348" ht="15.75" customHeight="1">
      <c r="A1348" s="95"/>
      <c r="B1348" s="104"/>
      <c r="C1348" s="97" t="str">
        <f>VLOOKUP(B1348,Stock!$A$2:$B$133,2,0)</f>
        <v>#N/A</v>
      </c>
      <c r="D1348" s="105"/>
      <c r="E1348" s="106"/>
    </row>
    <row r="1349" ht="15.75" customHeight="1">
      <c r="A1349" s="95"/>
      <c r="B1349" s="104"/>
      <c r="C1349" s="97" t="str">
        <f>VLOOKUP(B1349,Stock!$A$2:$B$133,2,0)</f>
        <v>#N/A</v>
      </c>
      <c r="D1349" s="105"/>
      <c r="E1349" s="106"/>
    </row>
    <row r="1350" ht="15.75" customHeight="1">
      <c r="A1350" s="95"/>
      <c r="B1350" s="104"/>
      <c r="C1350" s="97" t="str">
        <f>VLOOKUP(B1350,Stock!$A$2:$B$133,2,0)</f>
        <v>#N/A</v>
      </c>
      <c r="D1350" s="105"/>
      <c r="E1350" s="106"/>
    </row>
    <row r="1351" ht="15.75" customHeight="1">
      <c r="A1351" s="95"/>
      <c r="B1351" s="104"/>
      <c r="C1351" s="97" t="str">
        <f>VLOOKUP(B1351,Stock!$A$2:$B$133,2,0)</f>
        <v>#N/A</v>
      </c>
      <c r="D1351" s="105"/>
      <c r="E1351" s="106"/>
    </row>
    <row r="1352" ht="15.75" customHeight="1">
      <c r="A1352" s="95"/>
      <c r="B1352" s="104"/>
      <c r="C1352" s="97" t="str">
        <f>VLOOKUP(B1352,Stock!$A$2:$B$133,2,0)</f>
        <v>#N/A</v>
      </c>
      <c r="D1352" s="105"/>
      <c r="E1352" s="106"/>
    </row>
    <row r="1353" ht="15.75" customHeight="1">
      <c r="A1353" s="95"/>
      <c r="B1353" s="104"/>
      <c r="C1353" s="97" t="str">
        <f>VLOOKUP(B1353,Stock!$A$2:$B$133,2,0)</f>
        <v>#N/A</v>
      </c>
      <c r="D1353" s="105"/>
      <c r="E1353" s="106"/>
    </row>
    <row r="1354" ht="15.75" customHeight="1">
      <c r="A1354" s="95"/>
      <c r="B1354" s="104"/>
      <c r="C1354" s="97" t="str">
        <f>VLOOKUP(B1354,Stock!$A$2:$B$133,2,0)</f>
        <v>#N/A</v>
      </c>
      <c r="D1354" s="105"/>
      <c r="E1354" s="106"/>
    </row>
    <row r="1355" ht="15.75" customHeight="1">
      <c r="A1355" s="95"/>
      <c r="B1355" s="104"/>
      <c r="C1355" s="97" t="str">
        <f>VLOOKUP(B1355,Stock!$A$2:$B$133,2,0)</f>
        <v>#N/A</v>
      </c>
      <c r="D1355" s="105"/>
      <c r="E1355" s="106"/>
    </row>
    <row r="1356" ht="15.75" customHeight="1">
      <c r="A1356" s="95"/>
      <c r="B1356" s="104"/>
      <c r="C1356" s="97" t="str">
        <f>VLOOKUP(B1356,Stock!$A$2:$B$133,2,0)</f>
        <v>#N/A</v>
      </c>
      <c r="D1356" s="105"/>
      <c r="E1356" s="106"/>
    </row>
    <row r="1357" ht="15.75" customHeight="1">
      <c r="A1357" s="95"/>
      <c r="B1357" s="104"/>
      <c r="C1357" s="97" t="str">
        <f>VLOOKUP(B1357,Stock!$A$2:$B$133,2,0)</f>
        <v>#N/A</v>
      </c>
      <c r="D1357" s="105"/>
      <c r="E1357" s="106"/>
    </row>
    <row r="1358" ht="15.75" customHeight="1">
      <c r="A1358" s="95"/>
      <c r="B1358" s="104"/>
      <c r="C1358" s="97" t="str">
        <f>VLOOKUP(B1358,Stock!$A$2:$B$133,2,0)</f>
        <v>#N/A</v>
      </c>
      <c r="D1358" s="105"/>
      <c r="E1358" s="106"/>
    </row>
    <row r="1359" ht="15.75" customHeight="1">
      <c r="A1359" s="95"/>
      <c r="B1359" s="104"/>
      <c r="C1359" s="97" t="str">
        <f>VLOOKUP(B1359,Stock!$A$2:$B$133,2,0)</f>
        <v>#N/A</v>
      </c>
      <c r="D1359" s="105"/>
      <c r="E1359" s="106"/>
    </row>
    <row r="1360" ht="15.75" customHeight="1">
      <c r="A1360" s="95"/>
      <c r="B1360" s="104"/>
      <c r="C1360" s="97" t="str">
        <f>VLOOKUP(B1360,Stock!$A$2:$B$133,2,0)</f>
        <v>#N/A</v>
      </c>
      <c r="D1360" s="105"/>
      <c r="E1360" s="106"/>
    </row>
    <row r="1361" ht="15.75" customHeight="1">
      <c r="A1361" s="95"/>
      <c r="B1361" s="104"/>
      <c r="C1361" s="97" t="str">
        <f>VLOOKUP(B1361,Stock!$A$2:$B$133,2,0)</f>
        <v>#N/A</v>
      </c>
      <c r="D1361" s="105"/>
      <c r="E1361" s="106"/>
    </row>
    <row r="1362" ht="15.75" customHeight="1">
      <c r="A1362" s="95"/>
      <c r="B1362" s="104"/>
      <c r="C1362" s="97" t="str">
        <f>VLOOKUP(B1362,Stock!$A$2:$B$133,2,0)</f>
        <v>#N/A</v>
      </c>
      <c r="D1362" s="105"/>
      <c r="E1362" s="106"/>
    </row>
    <row r="1363" ht="15.75" customHeight="1">
      <c r="A1363" s="95"/>
      <c r="B1363" s="104"/>
      <c r="C1363" s="97" t="str">
        <f>VLOOKUP(B1363,Stock!$A$2:$B$133,2,0)</f>
        <v>#N/A</v>
      </c>
      <c r="D1363" s="105"/>
      <c r="E1363" s="106"/>
    </row>
    <row r="1364" ht="15.75" customHeight="1">
      <c r="A1364" s="95"/>
      <c r="B1364" s="104"/>
      <c r="C1364" s="97" t="str">
        <f>VLOOKUP(B1364,Stock!$A$2:$B$133,2,0)</f>
        <v>#N/A</v>
      </c>
      <c r="D1364" s="105"/>
      <c r="E1364" s="106"/>
    </row>
    <row r="1365" ht="15.75" customHeight="1">
      <c r="A1365" s="95"/>
      <c r="B1365" s="104"/>
      <c r="C1365" s="97" t="str">
        <f>VLOOKUP(B1365,Stock!$A$2:$B$133,2,0)</f>
        <v>#N/A</v>
      </c>
      <c r="D1365" s="105"/>
      <c r="E1365" s="106"/>
    </row>
    <row r="1366" ht="15.75" customHeight="1">
      <c r="A1366" s="95"/>
      <c r="B1366" s="104"/>
      <c r="C1366" s="97" t="str">
        <f>VLOOKUP(B1366,Stock!$A$2:$B$133,2,0)</f>
        <v>#N/A</v>
      </c>
      <c r="D1366" s="105"/>
      <c r="E1366" s="106"/>
    </row>
    <row r="1367" ht="15.75" customHeight="1">
      <c r="A1367" s="95"/>
      <c r="B1367" s="104"/>
      <c r="C1367" s="97" t="str">
        <f>VLOOKUP(B1367,Stock!$A$2:$B$133,2,0)</f>
        <v>#N/A</v>
      </c>
      <c r="D1367" s="105"/>
      <c r="E1367" s="106"/>
    </row>
    <row r="1368" ht="15.75" customHeight="1">
      <c r="A1368" s="95"/>
      <c r="B1368" s="104"/>
      <c r="C1368" s="97" t="str">
        <f>VLOOKUP(B1368,Stock!$A$2:$B$133,2,0)</f>
        <v>#N/A</v>
      </c>
      <c r="D1368" s="105"/>
      <c r="E1368" s="106"/>
    </row>
    <row r="1369" ht="15.75" customHeight="1">
      <c r="A1369" s="95"/>
      <c r="B1369" s="104"/>
      <c r="C1369" s="97" t="str">
        <f>VLOOKUP(B1369,Stock!$A$2:$B$133,2,0)</f>
        <v>#N/A</v>
      </c>
      <c r="D1369" s="105"/>
      <c r="E1369" s="106"/>
    </row>
    <row r="1370" ht="15.75" customHeight="1">
      <c r="A1370" s="95"/>
      <c r="B1370" s="104"/>
      <c r="C1370" s="97" t="str">
        <f>VLOOKUP(B1370,Stock!$A$2:$B$133,2,0)</f>
        <v>#N/A</v>
      </c>
      <c r="D1370" s="105"/>
      <c r="E1370" s="106"/>
    </row>
    <row r="1371" ht="15.75" customHeight="1">
      <c r="A1371" s="95"/>
      <c r="B1371" s="104"/>
      <c r="C1371" s="97" t="str">
        <f>VLOOKUP(B1371,Stock!$A$2:$B$133,2,0)</f>
        <v>#N/A</v>
      </c>
      <c r="D1371" s="105"/>
      <c r="E1371" s="106"/>
    </row>
    <row r="1372" ht="15.75" customHeight="1">
      <c r="A1372" s="95"/>
      <c r="B1372" s="104"/>
      <c r="C1372" s="97" t="str">
        <f>VLOOKUP(B1372,Stock!$A$2:$B$133,2,0)</f>
        <v>#N/A</v>
      </c>
      <c r="D1372" s="105"/>
      <c r="E1372" s="106"/>
    </row>
    <row r="1373" ht="15.75" customHeight="1">
      <c r="A1373" s="95"/>
      <c r="B1373" s="104"/>
      <c r="C1373" s="97" t="str">
        <f>VLOOKUP(B1373,Stock!$A$2:$B$133,2,0)</f>
        <v>#N/A</v>
      </c>
      <c r="D1373" s="105"/>
      <c r="E1373" s="106"/>
    </row>
    <row r="1374" ht="15.75" customHeight="1">
      <c r="A1374" s="95"/>
      <c r="B1374" s="104"/>
      <c r="C1374" s="97" t="str">
        <f>VLOOKUP(B1374,Stock!$A$2:$B$133,2,0)</f>
        <v>#N/A</v>
      </c>
      <c r="D1374" s="105"/>
      <c r="E1374" s="106"/>
    </row>
    <row r="1375" ht="15.75" customHeight="1">
      <c r="A1375" s="95"/>
      <c r="B1375" s="104"/>
      <c r="C1375" s="97" t="str">
        <f>VLOOKUP(B1375,Stock!$A$2:$B$133,2,0)</f>
        <v>#N/A</v>
      </c>
      <c r="D1375" s="105"/>
      <c r="E1375" s="106"/>
    </row>
    <row r="1376" ht="15.75" customHeight="1">
      <c r="A1376" s="95"/>
      <c r="B1376" s="104"/>
      <c r="C1376" s="97" t="str">
        <f>VLOOKUP(B1376,Stock!$A$2:$B$133,2,0)</f>
        <v>#N/A</v>
      </c>
      <c r="D1376" s="105"/>
      <c r="E1376" s="106"/>
    </row>
    <row r="1377" ht="15.75" customHeight="1">
      <c r="A1377" s="95"/>
      <c r="B1377" s="104"/>
      <c r="C1377" s="97" t="str">
        <f>VLOOKUP(B1377,Stock!$A$2:$B$133,2,0)</f>
        <v>#N/A</v>
      </c>
      <c r="D1377" s="105"/>
      <c r="E1377" s="106"/>
    </row>
    <row r="1378" ht="15.75" customHeight="1">
      <c r="A1378" s="95"/>
      <c r="B1378" s="104"/>
      <c r="C1378" s="97" t="str">
        <f>VLOOKUP(B1378,Stock!$A$2:$B$133,2,0)</f>
        <v>#N/A</v>
      </c>
      <c r="D1378" s="105"/>
      <c r="E1378" s="106"/>
    </row>
    <row r="1379" ht="15.75" customHeight="1">
      <c r="A1379" s="95"/>
      <c r="B1379" s="104"/>
      <c r="C1379" s="97" t="str">
        <f>VLOOKUP(B1379,Stock!$A$2:$B$133,2,0)</f>
        <v>#N/A</v>
      </c>
      <c r="D1379" s="105"/>
      <c r="E1379" s="106"/>
    </row>
    <row r="1380" ht="15.75" customHeight="1">
      <c r="A1380" s="95"/>
      <c r="B1380" s="104"/>
      <c r="C1380" s="97" t="str">
        <f>VLOOKUP(B1380,Stock!$A$2:$B$133,2,0)</f>
        <v>#N/A</v>
      </c>
      <c r="D1380" s="105"/>
      <c r="E1380" s="106"/>
    </row>
    <row r="1381" ht="15.75" customHeight="1">
      <c r="A1381" s="95"/>
      <c r="B1381" s="104"/>
      <c r="C1381" s="97" t="str">
        <f>VLOOKUP(B1381,Stock!$A$2:$B$133,2,0)</f>
        <v>#N/A</v>
      </c>
      <c r="D1381" s="105"/>
      <c r="E1381" s="106"/>
    </row>
    <row r="1382" ht="15.75" customHeight="1">
      <c r="A1382" s="95"/>
      <c r="B1382" s="104"/>
      <c r="C1382" s="97" t="str">
        <f>VLOOKUP(B1382,Stock!$A$2:$B$133,2,0)</f>
        <v>#N/A</v>
      </c>
      <c r="D1382" s="105"/>
      <c r="E1382" s="106"/>
    </row>
    <row r="1383" ht="15.75" customHeight="1">
      <c r="A1383" s="95"/>
      <c r="B1383" s="104"/>
      <c r="C1383" s="97" t="str">
        <f>VLOOKUP(B1383,Stock!$A$2:$B$133,2,0)</f>
        <v>#N/A</v>
      </c>
      <c r="D1383" s="105"/>
      <c r="E1383" s="106"/>
    </row>
    <row r="1384" ht="15.75" customHeight="1">
      <c r="A1384" s="95"/>
      <c r="B1384" s="104"/>
      <c r="C1384" s="97" t="str">
        <f>VLOOKUP(B1384,Stock!$A$2:$B$133,2,0)</f>
        <v>#N/A</v>
      </c>
      <c r="D1384" s="105"/>
      <c r="E1384" s="106"/>
    </row>
    <row r="1385" ht="15.75" customHeight="1">
      <c r="A1385" s="95"/>
      <c r="B1385" s="104"/>
      <c r="C1385" s="97" t="str">
        <f>VLOOKUP(B1385,Stock!$A$2:$B$133,2,0)</f>
        <v>#N/A</v>
      </c>
      <c r="D1385" s="105"/>
      <c r="E1385" s="106"/>
    </row>
    <row r="1386" ht="15.75" customHeight="1">
      <c r="A1386" s="95"/>
      <c r="B1386" s="104"/>
      <c r="C1386" s="97" t="str">
        <f>VLOOKUP(B1386,Stock!$A$2:$B$133,2,0)</f>
        <v>#N/A</v>
      </c>
      <c r="D1386" s="105"/>
      <c r="E1386" s="106"/>
    </row>
    <row r="1387" ht="15.75" customHeight="1">
      <c r="A1387" s="95"/>
      <c r="B1387" s="104"/>
      <c r="C1387" s="97" t="str">
        <f>VLOOKUP(B1387,Stock!$A$2:$B$133,2,0)</f>
        <v>#N/A</v>
      </c>
      <c r="D1387" s="105"/>
      <c r="E1387" s="106"/>
    </row>
    <row r="1388" ht="15.75" customHeight="1">
      <c r="A1388" s="95"/>
      <c r="B1388" s="104"/>
      <c r="C1388" s="97" t="str">
        <f>VLOOKUP(B1388,Stock!$A$2:$B$133,2,0)</f>
        <v>#N/A</v>
      </c>
      <c r="D1388" s="105"/>
      <c r="E1388" s="106"/>
    </row>
    <row r="1389" ht="15.75" customHeight="1">
      <c r="A1389" s="95"/>
      <c r="B1389" s="104"/>
      <c r="C1389" s="97" t="str">
        <f>VLOOKUP(B1389,Stock!$A$2:$B$133,2,0)</f>
        <v>#N/A</v>
      </c>
      <c r="D1389" s="105"/>
      <c r="E1389" s="106"/>
    </row>
    <row r="1390" ht="15.75" customHeight="1">
      <c r="A1390" s="95"/>
      <c r="B1390" s="104"/>
      <c r="C1390" s="97" t="str">
        <f>VLOOKUP(B1390,Stock!$A$2:$B$133,2,0)</f>
        <v>#N/A</v>
      </c>
      <c r="D1390" s="105"/>
      <c r="E1390" s="106"/>
    </row>
    <row r="1391" ht="15.75" customHeight="1">
      <c r="A1391" s="95"/>
      <c r="B1391" s="104"/>
      <c r="C1391" s="97" t="str">
        <f>VLOOKUP(B1391,Stock!$A$2:$B$133,2,0)</f>
        <v>#N/A</v>
      </c>
      <c r="D1391" s="105"/>
      <c r="E1391" s="106"/>
    </row>
    <row r="1392" ht="15.75" customHeight="1">
      <c r="A1392" s="95"/>
      <c r="B1392" s="104"/>
      <c r="C1392" s="97" t="str">
        <f>VLOOKUP(B1392,Stock!$A$2:$B$133,2,0)</f>
        <v>#N/A</v>
      </c>
      <c r="D1392" s="105"/>
      <c r="E1392" s="106"/>
    </row>
    <row r="1393" ht="15.75" customHeight="1">
      <c r="A1393" s="95"/>
      <c r="B1393" s="104"/>
      <c r="C1393" s="97" t="str">
        <f>VLOOKUP(B1393,Stock!$A$2:$B$133,2,0)</f>
        <v>#N/A</v>
      </c>
      <c r="D1393" s="105"/>
      <c r="E1393" s="106"/>
    </row>
    <row r="1394" ht="15.75" customHeight="1">
      <c r="A1394" s="95"/>
      <c r="B1394" s="104"/>
      <c r="C1394" s="97" t="str">
        <f>VLOOKUP(B1394,Stock!$A$2:$B$133,2,0)</f>
        <v>#N/A</v>
      </c>
      <c r="D1394" s="105"/>
      <c r="E1394" s="106"/>
    </row>
    <row r="1395" ht="15.75" customHeight="1">
      <c r="A1395" s="95"/>
      <c r="B1395" s="104"/>
      <c r="C1395" s="97" t="str">
        <f>VLOOKUP(B1395,Stock!$A$2:$B$133,2,0)</f>
        <v>#N/A</v>
      </c>
      <c r="D1395" s="105"/>
      <c r="E1395" s="106"/>
    </row>
    <row r="1396" ht="15.75" customHeight="1">
      <c r="A1396" s="95"/>
      <c r="B1396" s="104"/>
      <c r="C1396" s="97" t="str">
        <f>VLOOKUP(B1396,Stock!$A$2:$B$133,2,0)</f>
        <v>#N/A</v>
      </c>
      <c r="D1396" s="105"/>
      <c r="E1396" s="106"/>
    </row>
    <row r="1397" ht="15.75" customHeight="1">
      <c r="A1397" s="95"/>
      <c r="B1397" s="104"/>
      <c r="C1397" s="97" t="str">
        <f>VLOOKUP(B1397,Stock!$A$2:$B$133,2,0)</f>
        <v>#N/A</v>
      </c>
      <c r="D1397" s="105"/>
      <c r="E1397" s="106"/>
    </row>
    <row r="1398" ht="15.75" customHeight="1">
      <c r="A1398" s="95"/>
      <c r="B1398" s="104"/>
      <c r="C1398" s="97" t="str">
        <f>VLOOKUP(B1398,Stock!$A$2:$B$133,2,0)</f>
        <v>#N/A</v>
      </c>
      <c r="D1398" s="105"/>
      <c r="E1398" s="106"/>
    </row>
    <row r="1399" ht="15.75" customHeight="1">
      <c r="A1399" s="95"/>
      <c r="B1399" s="104"/>
      <c r="C1399" s="97" t="str">
        <f>VLOOKUP(B1399,Stock!$A$2:$B$133,2,0)</f>
        <v>#N/A</v>
      </c>
      <c r="D1399" s="105"/>
      <c r="E1399" s="106"/>
    </row>
    <row r="1400" ht="15.75" customHeight="1">
      <c r="A1400" s="95"/>
      <c r="B1400" s="104"/>
      <c r="C1400" s="97" t="str">
        <f>VLOOKUP(B1400,Stock!$A$2:$B$133,2,0)</f>
        <v>#N/A</v>
      </c>
      <c r="D1400" s="105"/>
      <c r="E1400" s="106"/>
    </row>
    <row r="1401" ht="15.75" customHeight="1">
      <c r="A1401" s="95"/>
      <c r="B1401" s="104"/>
      <c r="C1401" s="97" t="str">
        <f>VLOOKUP(B1401,Stock!$A$2:$B$133,2,0)</f>
        <v>#N/A</v>
      </c>
      <c r="D1401" s="105"/>
      <c r="E1401" s="106"/>
    </row>
    <row r="1402" ht="15.75" customHeight="1">
      <c r="A1402" s="95"/>
      <c r="B1402" s="104"/>
      <c r="C1402" s="97" t="str">
        <f>VLOOKUP(B1402,Stock!$A$2:$B$133,2,0)</f>
        <v>#N/A</v>
      </c>
      <c r="D1402" s="105"/>
      <c r="E1402" s="106"/>
    </row>
    <row r="1403" ht="15.75" customHeight="1">
      <c r="A1403" s="95"/>
      <c r="B1403" s="104"/>
      <c r="C1403" s="97" t="str">
        <f>VLOOKUP(B1403,Stock!$A$2:$B$133,2,0)</f>
        <v>#N/A</v>
      </c>
      <c r="D1403" s="105"/>
      <c r="E1403" s="106"/>
    </row>
    <row r="1404" ht="15.75" customHeight="1">
      <c r="A1404" s="95"/>
      <c r="B1404" s="104"/>
      <c r="C1404" s="97" t="str">
        <f>VLOOKUP(B1404,Stock!$A$2:$B$133,2,0)</f>
        <v>#N/A</v>
      </c>
      <c r="D1404" s="105"/>
      <c r="E1404" s="106"/>
    </row>
    <row r="1405" ht="15.75" customHeight="1">
      <c r="A1405" s="95"/>
      <c r="B1405" s="104"/>
      <c r="C1405" s="97" t="str">
        <f>VLOOKUP(B1405,Stock!$A$2:$B$133,2,0)</f>
        <v>#N/A</v>
      </c>
      <c r="D1405" s="105"/>
      <c r="E1405" s="106"/>
    </row>
    <row r="1406" ht="15.75" customHeight="1">
      <c r="A1406" s="95"/>
      <c r="B1406" s="104"/>
      <c r="C1406" s="97" t="str">
        <f>VLOOKUP(B1406,Stock!$A$2:$B$133,2,0)</f>
        <v>#N/A</v>
      </c>
      <c r="D1406" s="105"/>
      <c r="E1406" s="106"/>
    </row>
    <row r="1407" ht="15.75" customHeight="1">
      <c r="A1407" s="95"/>
      <c r="B1407" s="104"/>
      <c r="C1407" s="97" t="str">
        <f>VLOOKUP(B1407,Stock!$A$2:$B$133,2,0)</f>
        <v>#N/A</v>
      </c>
      <c r="D1407" s="105"/>
      <c r="E1407" s="106"/>
    </row>
    <row r="1408" ht="15.75" customHeight="1">
      <c r="A1408" s="95"/>
      <c r="B1408" s="104"/>
      <c r="C1408" s="97" t="str">
        <f>VLOOKUP(B1408,Stock!$A$2:$B$133,2,0)</f>
        <v>#N/A</v>
      </c>
      <c r="D1408" s="105"/>
      <c r="E1408" s="106"/>
    </row>
    <row r="1409" ht="15.75" customHeight="1">
      <c r="A1409" s="95"/>
      <c r="B1409" s="104"/>
      <c r="C1409" s="97" t="str">
        <f>VLOOKUP(B1409,Stock!$A$2:$B$133,2,0)</f>
        <v>#N/A</v>
      </c>
      <c r="D1409" s="105"/>
      <c r="E1409" s="106"/>
    </row>
    <row r="1410" ht="15.75" customHeight="1">
      <c r="A1410" s="95"/>
      <c r="B1410" s="104"/>
      <c r="C1410" s="97" t="str">
        <f>VLOOKUP(B1410,Stock!$A$2:$B$133,2,0)</f>
        <v>#N/A</v>
      </c>
      <c r="D1410" s="105"/>
      <c r="E1410" s="106"/>
    </row>
    <row r="1411" ht="15.75" customHeight="1">
      <c r="A1411" s="95"/>
      <c r="B1411" s="104"/>
      <c r="C1411" s="97" t="str">
        <f>VLOOKUP(B1411,Stock!$A$2:$B$133,2,0)</f>
        <v>#N/A</v>
      </c>
      <c r="D1411" s="105"/>
      <c r="E1411" s="106"/>
    </row>
    <row r="1412" ht="15.75" customHeight="1">
      <c r="A1412" s="95"/>
      <c r="B1412" s="104"/>
      <c r="C1412" s="97" t="str">
        <f>VLOOKUP(B1412,Stock!$A$2:$B$133,2,0)</f>
        <v>#N/A</v>
      </c>
      <c r="D1412" s="105"/>
      <c r="E1412" s="106"/>
    </row>
    <row r="1413" ht="15.75" customHeight="1">
      <c r="A1413" s="95"/>
      <c r="B1413" s="104"/>
      <c r="C1413" s="97" t="str">
        <f>VLOOKUP(B1413,Stock!$A$2:$B$133,2,0)</f>
        <v>#N/A</v>
      </c>
      <c r="D1413" s="105"/>
      <c r="E1413" s="106"/>
    </row>
    <row r="1414" ht="15.75" customHeight="1">
      <c r="A1414" s="95"/>
      <c r="B1414" s="104"/>
      <c r="C1414" s="97" t="str">
        <f>VLOOKUP(B1414,Stock!$A$2:$B$133,2,0)</f>
        <v>#N/A</v>
      </c>
      <c r="D1414" s="105"/>
      <c r="E1414" s="106"/>
    </row>
    <row r="1415" ht="15.75" customHeight="1">
      <c r="A1415" s="95"/>
      <c r="B1415" s="104"/>
      <c r="C1415" s="97" t="str">
        <f>VLOOKUP(B1415,Stock!$A$2:$B$133,2,0)</f>
        <v>#N/A</v>
      </c>
      <c r="D1415" s="105"/>
      <c r="E1415" s="106"/>
    </row>
    <row r="1416" ht="15.75" customHeight="1">
      <c r="A1416" s="95"/>
      <c r="B1416" s="104"/>
      <c r="C1416" s="97" t="str">
        <f>VLOOKUP(B1416,Stock!$A$2:$B$133,2,0)</f>
        <v>#N/A</v>
      </c>
      <c r="D1416" s="105"/>
      <c r="E1416" s="106"/>
    </row>
    <row r="1417" ht="15.75" customHeight="1">
      <c r="A1417" s="95"/>
      <c r="B1417" s="104"/>
      <c r="C1417" s="97" t="str">
        <f>VLOOKUP(B1417,Stock!$A$2:$B$133,2,0)</f>
        <v>#N/A</v>
      </c>
      <c r="D1417" s="105"/>
      <c r="E1417" s="106"/>
    </row>
    <row r="1418" ht="15.75" customHeight="1">
      <c r="A1418" s="95"/>
      <c r="B1418" s="104"/>
      <c r="C1418" s="97" t="str">
        <f>VLOOKUP(B1418,Stock!$A$2:$B$133,2,0)</f>
        <v>#N/A</v>
      </c>
      <c r="D1418" s="105"/>
      <c r="E1418" s="106"/>
    </row>
    <row r="1419" ht="15.75" customHeight="1">
      <c r="A1419" s="95"/>
      <c r="B1419" s="104"/>
      <c r="C1419" s="97" t="str">
        <f>VLOOKUP(B1419,Stock!$A$2:$B$133,2,0)</f>
        <v>#N/A</v>
      </c>
      <c r="D1419" s="105"/>
      <c r="E1419" s="106"/>
    </row>
    <row r="1420" ht="15.75" customHeight="1">
      <c r="A1420" s="95"/>
      <c r="B1420" s="104"/>
      <c r="C1420" s="97" t="str">
        <f>VLOOKUP(B1420,Stock!$A$2:$B$133,2,0)</f>
        <v>#N/A</v>
      </c>
      <c r="D1420" s="105"/>
      <c r="E1420" s="106"/>
    </row>
    <row r="1421" ht="15.75" customHeight="1">
      <c r="A1421" s="95"/>
      <c r="B1421" s="104"/>
      <c r="C1421" s="97" t="str">
        <f>VLOOKUP(B1421,Stock!$A$2:$B$133,2,0)</f>
        <v>#N/A</v>
      </c>
      <c r="D1421" s="105"/>
      <c r="E1421" s="106"/>
    </row>
    <row r="1422" ht="15.75" customHeight="1">
      <c r="A1422" s="95"/>
      <c r="B1422" s="104"/>
      <c r="C1422" s="97" t="str">
        <f>VLOOKUP(B1422,Stock!$A$2:$B$133,2,0)</f>
        <v>#N/A</v>
      </c>
      <c r="D1422" s="105"/>
      <c r="E1422" s="106"/>
    </row>
    <row r="1423" ht="15.75" customHeight="1">
      <c r="A1423" s="95"/>
      <c r="B1423" s="104"/>
      <c r="C1423" s="97" t="str">
        <f>VLOOKUP(B1423,Stock!$A$2:$B$133,2,0)</f>
        <v>#N/A</v>
      </c>
      <c r="D1423" s="105"/>
      <c r="E1423" s="106"/>
    </row>
    <row r="1424" ht="15.75" customHeight="1">
      <c r="A1424" s="95"/>
      <c r="B1424" s="104"/>
      <c r="C1424" s="97" t="str">
        <f>VLOOKUP(B1424,Stock!$A$2:$B$133,2,0)</f>
        <v>#N/A</v>
      </c>
      <c r="D1424" s="105"/>
      <c r="E1424" s="106"/>
    </row>
    <row r="1425" ht="15.75" customHeight="1">
      <c r="A1425" s="95"/>
      <c r="B1425" s="104"/>
      <c r="C1425" s="97" t="str">
        <f>VLOOKUP(B1425,Stock!$A$2:$B$133,2,0)</f>
        <v>#N/A</v>
      </c>
      <c r="D1425" s="105"/>
      <c r="E1425" s="106"/>
    </row>
    <row r="1426" ht="15.75" customHeight="1">
      <c r="A1426" s="95"/>
      <c r="B1426" s="104"/>
      <c r="C1426" s="97" t="str">
        <f>VLOOKUP(B1426,Stock!$A$2:$B$133,2,0)</f>
        <v>#N/A</v>
      </c>
      <c r="D1426" s="105"/>
      <c r="E1426" s="106"/>
    </row>
    <row r="1427" ht="15.75" customHeight="1">
      <c r="A1427" s="95"/>
      <c r="B1427" s="104"/>
      <c r="C1427" s="97" t="str">
        <f>VLOOKUP(B1427,Stock!$A$2:$B$133,2,0)</f>
        <v>#N/A</v>
      </c>
      <c r="D1427" s="105"/>
      <c r="E1427" s="106"/>
    </row>
    <row r="1428" ht="15.75" customHeight="1">
      <c r="A1428" s="95"/>
      <c r="B1428" s="104"/>
      <c r="C1428" s="97" t="str">
        <f>VLOOKUP(B1428,Stock!$A$2:$B$133,2,0)</f>
        <v>#N/A</v>
      </c>
      <c r="D1428" s="105"/>
      <c r="E1428" s="106"/>
    </row>
    <row r="1429" ht="15.75" customHeight="1">
      <c r="A1429" s="95"/>
      <c r="B1429" s="104"/>
      <c r="C1429" s="97" t="str">
        <f>VLOOKUP(B1429,Stock!$A$2:$B$133,2,0)</f>
        <v>#N/A</v>
      </c>
      <c r="D1429" s="105"/>
      <c r="E1429" s="106"/>
    </row>
    <row r="1430" ht="15.75" customHeight="1">
      <c r="A1430" s="95"/>
      <c r="B1430" s="104"/>
      <c r="C1430" s="97" t="str">
        <f>VLOOKUP(B1430,Stock!$A$2:$B$133,2,0)</f>
        <v>#N/A</v>
      </c>
      <c r="D1430" s="105"/>
      <c r="E1430" s="106"/>
    </row>
    <row r="1431" ht="15.75" customHeight="1">
      <c r="A1431" s="95"/>
      <c r="B1431" s="104"/>
      <c r="C1431" s="97" t="str">
        <f>VLOOKUP(B1431,Stock!$A$2:$B$133,2,0)</f>
        <v>#N/A</v>
      </c>
      <c r="D1431" s="105"/>
      <c r="E1431" s="106"/>
    </row>
    <row r="1432" ht="15.75" customHeight="1">
      <c r="A1432" s="95"/>
      <c r="B1432" s="104"/>
      <c r="C1432" s="97" t="str">
        <f>VLOOKUP(B1432,Stock!$A$2:$B$133,2,0)</f>
        <v>#N/A</v>
      </c>
      <c r="D1432" s="105"/>
      <c r="E1432" s="106"/>
    </row>
    <row r="1433" ht="15.75" customHeight="1">
      <c r="A1433" s="95"/>
      <c r="B1433" s="104"/>
      <c r="C1433" s="97" t="str">
        <f>VLOOKUP(B1433,Stock!$A$2:$B$133,2,0)</f>
        <v>#N/A</v>
      </c>
      <c r="D1433" s="105"/>
      <c r="E1433" s="106"/>
    </row>
    <row r="1434" ht="15.75" customHeight="1">
      <c r="A1434" s="95"/>
      <c r="B1434" s="104"/>
      <c r="C1434" s="97" t="str">
        <f>VLOOKUP(B1434,Stock!$A$2:$B$133,2,0)</f>
        <v>#N/A</v>
      </c>
      <c r="D1434" s="105"/>
      <c r="E1434" s="106"/>
    </row>
    <row r="1435" ht="15.75" customHeight="1">
      <c r="A1435" s="95"/>
      <c r="B1435" s="104"/>
      <c r="C1435" s="97" t="str">
        <f>VLOOKUP(B1435,Stock!$A$2:$B$133,2,0)</f>
        <v>#N/A</v>
      </c>
      <c r="D1435" s="105"/>
      <c r="E1435" s="106"/>
    </row>
    <row r="1436" ht="15.75" customHeight="1">
      <c r="A1436" s="95"/>
      <c r="B1436" s="104"/>
      <c r="C1436" s="97" t="str">
        <f>VLOOKUP(B1436,Stock!$A$2:$B$133,2,0)</f>
        <v>#N/A</v>
      </c>
      <c r="D1436" s="105"/>
      <c r="E1436" s="106"/>
    </row>
    <row r="1437" ht="15.75" customHeight="1">
      <c r="A1437" s="95"/>
      <c r="B1437" s="104"/>
      <c r="C1437" s="97" t="str">
        <f>VLOOKUP(B1437,Stock!$A$2:$B$133,2,0)</f>
        <v>#N/A</v>
      </c>
      <c r="D1437" s="105"/>
      <c r="E1437" s="106"/>
    </row>
    <row r="1438" ht="15.75" customHeight="1">
      <c r="A1438" s="95"/>
      <c r="B1438" s="104"/>
      <c r="C1438" s="97" t="str">
        <f>VLOOKUP(B1438,Stock!$A$2:$B$133,2,0)</f>
        <v>#N/A</v>
      </c>
      <c r="D1438" s="105"/>
      <c r="E1438" s="106"/>
    </row>
    <row r="1439" ht="15.75" customHeight="1">
      <c r="A1439" s="95"/>
      <c r="B1439" s="104"/>
      <c r="C1439" s="97" t="str">
        <f>VLOOKUP(B1439,Stock!$A$2:$B$133,2,0)</f>
        <v>#N/A</v>
      </c>
      <c r="D1439" s="105"/>
      <c r="E1439" s="106"/>
    </row>
    <row r="1440" ht="15.75" customHeight="1">
      <c r="A1440" s="95"/>
      <c r="B1440" s="104"/>
      <c r="C1440" s="97" t="str">
        <f>VLOOKUP(B1440,Stock!$A$2:$B$133,2,0)</f>
        <v>#N/A</v>
      </c>
      <c r="D1440" s="105"/>
      <c r="E1440" s="106"/>
    </row>
    <row r="1441" ht="15.75" customHeight="1">
      <c r="A1441" s="95"/>
      <c r="B1441" s="104"/>
      <c r="C1441" s="97" t="str">
        <f>VLOOKUP(B1441,Stock!$A$2:$B$133,2,0)</f>
        <v>#N/A</v>
      </c>
      <c r="D1441" s="105"/>
      <c r="E1441" s="106"/>
    </row>
    <row r="1442" ht="15.75" customHeight="1">
      <c r="A1442" s="95"/>
      <c r="B1442" s="104"/>
      <c r="C1442" s="97" t="str">
        <f>VLOOKUP(B1442,Stock!$A$2:$B$133,2,0)</f>
        <v>#N/A</v>
      </c>
      <c r="D1442" s="105"/>
      <c r="E1442" s="106"/>
    </row>
    <row r="1443" ht="15.75" customHeight="1">
      <c r="A1443" s="95"/>
      <c r="B1443" s="104"/>
      <c r="C1443" s="97" t="str">
        <f>VLOOKUP(B1443,Stock!$A$2:$B$133,2,0)</f>
        <v>#N/A</v>
      </c>
      <c r="D1443" s="105"/>
      <c r="E1443" s="106"/>
    </row>
    <row r="1444" ht="15.75" customHeight="1">
      <c r="A1444" s="95"/>
      <c r="B1444" s="104"/>
      <c r="C1444" s="97" t="str">
        <f>VLOOKUP(B1444,Stock!$A$2:$B$133,2,0)</f>
        <v>#N/A</v>
      </c>
      <c r="D1444" s="105"/>
      <c r="E1444" s="106"/>
    </row>
    <row r="1445" ht="15.75" customHeight="1">
      <c r="A1445" s="95"/>
      <c r="B1445" s="104"/>
      <c r="C1445" s="97" t="str">
        <f>VLOOKUP(B1445,Stock!$A$2:$B$133,2,0)</f>
        <v>#N/A</v>
      </c>
      <c r="D1445" s="105"/>
      <c r="E1445" s="106"/>
    </row>
    <row r="1446" ht="15.75" customHeight="1">
      <c r="A1446" s="95"/>
      <c r="B1446" s="104"/>
      <c r="C1446" s="97" t="str">
        <f>VLOOKUP(B1446,Stock!$A$2:$B$133,2,0)</f>
        <v>#N/A</v>
      </c>
      <c r="D1446" s="105"/>
      <c r="E1446" s="106"/>
    </row>
    <row r="1447" ht="15.75" customHeight="1">
      <c r="A1447" s="95"/>
      <c r="B1447" s="104"/>
      <c r="C1447" s="97" t="str">
        <f>VLOOKUP(B1447,Stock!$A$2:$B$133,2,0)</f>
        <v>#N/A</v>
      </c>
      <c r="D1447" s="105"/>
      <c r="E1447" s="106"/>
    </row>
    <row r="1448" ht="15.75" customHeight="1">
      <c r="A1448" s="95"/>
      <c r="B1448" s="104"/>
      <c r="C1448" s="97" t="str">
        <f>VLOOKUP(B1448,Stock!$A$2:$B$133,2,0)</f>
        <v>#N/A</v>
      </c>
      <c r="D1448" s="105"/>
      <c r="E1448" s="106"/>
    </row>
    <row r="1449" ht="15.75" customHeight="1">
      <c r="A1449" s="95"/>
      <c r="B1449" s="104"/>
      <c r="C1449" s="97" t="str">
        <f>VLOOKUP(B1449,Stock!$A$2:$B$133,2,0)</f>
        <v>#N/A</v>
      </c>
      <c r="D1449" s="105"/>
      <c r="E1449" s="106"/>
    </row>
    <row r="1450" ht="15.75" customHeight="1">
      <c r="A1450" s="95"/>
      <c r="B1450" s="104"/>
      <c r="C1450" s="97" t="str">
        <f>VLOOKUP(B1450,Stock!$A$2:$B$133,2,0)</f>
        <v>#N/A</v>
      </c>
      <c r="D1450" s="105"/>
      <c r="E1450" s="106"/>
    </row>
    <row r="1451" ht="15.75" customHeight="1">
      <c r="A1451" s="95"/>
      <c r="B1451" s="104"/>
      <c r="C1451" s="97" t="str">
        <f>VLOOKUP(B1451,Stock!$A$2:$B$133,2,0)</f>
        <v>#N/A</v>
      </c>
      <c r="D1451" s="105"/>
      <c r="E1451" s="106"/>
    </row>
    <row r="1452" ht="15.75" customHeight="1">
      <c r="A1452" s="95"/>
      <c r="B1452" s="104"/>
      <c r="C1452" s="97" t="str">
        <f>VLOOKUP(B1452,Stock!$A$2:$B$133,2,0)</f>
        <v>#N/A</v>
      </c>
      <c r="D1452" s="105"/>
      <c r="E1452" s="106"/>
    </row>
    <row r="1453" ht="15.75" customHeight="1">
      <c r="A1453" s="95"/>
      <c r="B1453" s="104"/>
      <c r="C1453" s="97" t="str">
        <f>VLOOKUP(B1453,Stock!$A$2:$B$133,2,0)</f>
        <v>#N/A</v>
      </c>
      <c r="D1453" s="105"/>
      <c r="E1453" s="106"/>
    </row>
    <row r="1454" ht="15.75" customHeight="1">
      <c r="A1454" s="95"/>
      <c r="B1454" s="104"/>
      <c r="C1454" s="97" t="str">
        <f>VLOOKUP(B1454,Stock!$A$2:$B$133,2,0)</f>
        <v>#N/A</v>
      </c>
      <c r="D1454" s="105"/>
      <c r="E1454" s="106"/>
    </row>
    <row r="1455" ht="15.75" customHeight="1">
      <c r="A1455" s="95"/>
      <c r="B1455" s="104"/>
      <c r="C1455" s="97" t="str">
        <f>VLOOKUP(B1455,Stock!$A$2:$B$133,2,0)</f>
        <v>#N/A</v>
      </c>
      <c r="D1455" s="105"/>
      <c r="E1455" s="106"/>
    </row>
    <row r="1456" ht="15.75" customHeight="1">
      <c r="A1456" s="95"/>
      <c r="B1456" s="104"/>
      <c r="C1456" s="97" t="str">
        <f>VLOOKUP(B1456,Stock!$A$2:$B$133,2,0)</f>
        <v>#N/A</v>
      </c>
      <c r="D1456" s="105"/>
      <c r="E1456" s="106"/>
    </row>
    <row r="1457" ht="15.75" customHeight="1">
      <c r="A1457" s="95"/>
      <c r="B1457" s="104"/>
      <c r="C1457" s="97" t="str">
        <f>VLOOKUP(B1457,Stock!$A$2:$B$133,2,0)</f>
        <v>#N/A</v>
      </c>
      <c r="D1457" s="105"/>
      <c r="E1457" s="106"/>
    </row>
    <row r="1458" ht="15.75" customHeight="1">
      <c r="A1458" s="95"/>
      <c r="B1458" s="104"/>
      <c r="C1458" s="97" t="str">
        <f>VLOOKUP(B1458,Stock!$A$2:$B$133,2,0)</f>
        <v>#N/A</v>
      </c>
      <c r="D1458" s="105"/>
      <c r="E1458" s="106"/>
    </row>
    <row r="1459" ht="15.75" customHeight="1">
      <c r="A1459" s="95"/>
      <c r="B1459" s="104"/>
      <c r="C1459" s="97" t="str">
        <f>VLOOKUP(B1459,Stock!$A$2:$B$133,2,0)</f>
        <v>#N/A</v>
      </c>
      <c r="D1459" s="105"/>
      <c r="E1459" s="106"/>
    </row>
    <row r="1460" ht="15.75" customHeight="1">
      <c r="A1460" s="95"/>
      <c r="B1460" s="104"/>
      <c r="C1460" s="97" t="str">
        <f>VLOOKUP(B1460,Stock!$A$2:$B$133,2,0)</f>
        <v>#N/A</v>
      </c>
      <c r="D1460" s="105"/>
      <c r="E1460" s="106"/>
    </row>
    <row r="1461" ht="15.75" customHeight="1">
      <c r="A1461" s="95"/>
      <c r="B1461" s="104"/>
      <c r="C1461" s="97" t="str">
        <f>VLOOKUP(B1461,Stock!$A$2:$B$133,2,0)</f>
        <v>#N/A</v>
      </c>
      <c r="D1461" s="105"/>
      <c r="E1461" s="106"/>
    </row>
    <row r="1462" ht="15.75" customHeight="1">
      <c r="A1462" s="95"/>
      <c r="B1462" s="104"/>
      <c r="C1462" s="97" t="str">
        <f>VLOOKUP(B1462,Stock!$A$2:$B$133,2,0)</f>
        <v>#N/A</v>
      </c>
      <c r="D1462" s="105"/>
      <c r="E1462" s="106"/>
    </row>
    <row r="1463" ht="15.75" customHeight="1">
      <c r="A1463" s="95"/>
      <c r="B1463" s="104"/>
      <c r="C1463" s="97" t="str">
        <f>VLOOKUP(B1463,Stock!$A$2:$B$133,2,0)</f>
        <v>#N/A</v>
      </c>
      <c r="D1463" s="105"/>
      <c r="E1463" s="106"/>
    </row>
    <row r="1464" ht="15.75" customHeight="1">
      <c r="A1464" s="95"/>
      <c r="B1464" s="104"/>
      <c r="C1464" s="97" t="str">
        <f>VLOOKUP(B1464,Stock!$A$2:$B$133,2,0)</f>
        <v>#N/A</v>
      </c>
      <c r="D1464" s="105"/>
      <c r="E1464" s="106"/>
    </row>
    <row r="1465" ht="15.75" customHeight="1">
      <c r="A1465" s="95"/>
      <c r="B1465" s="104"/>
      <c r="C1465" s="97" t="str">
        <f>VLOOKUP(B1465,Stock!$A$2:$B$133,2,0)</f>
        <v>#N/A</v>
      </c>
      <c r="D1465" s="105"/>
      <c r="E1465" s="106"/>
    </row>
    <row r="1466" ht="15.75" customHeight="1">
      <c r="A1466" s="95"/>
      <c r="B1466" s="104"/>
      <c r="C1466" s="97" t="str">
        <f>VLOOKUP(B1466,Stock!$A$2:$B$133,2,0)</f>
        <v>#N/A</v>
      </c>
      <c r="D1466" s="105"/>
      <c r="E1466" s="106"/>
    </row>
    <row r="1467" ht="15.75" customHeight="1">
      <c r="A1467" s="95"/>
      <c r="B1467" s="104"/>
      <c r="C1467" s="97" t="str">
        <f>VLOOKUP(B1467,Stock!$A$2:$B$133,2,0)</f>
        <v>#N/A</v>
      </c>
      <c r="D1467" s="105"/>
      <c r="E1467" s="106"/>
    </row>
    <row r="1468" ht="15.75" customHeight="1">
      <c r="A1468" s="95"/>
      <c r="B1468" s="104"/>
      <c r="C1468" s="97" t="str">
        <f>VLOOKUP(B1468,Stock!$A$2:$B$133,2,0)</f>
        <v>#N/A</v>
      </c>
      <c r="D1468" s="105"/>
      <c r="E1468" s="106"/>
    </row>
    <row r="1469" ht="15.75" customHeight="1">
      <c r="A1469" s="95"/>
      <c r="B1469" s="104"/>
      <c r="C1469" s="97" t="str">
        <f>VLOOKUP(B1469,Stock!$A$2:$B$133,2,0)</f>
        <v>#N/A</v>
      </c>
      <c r="D1469" s="105"/>
      <c r="E1469" s="106"/>
    </row>
    <row r="1470" ht="15.75" customHeight="1">
      <c r="A1470" s="95"/>
      <c r="B1470" s="104"/>
      <c r="C1470" s="97" t="str">
        <f>VLOOKUP(B1470,Stock!$A$2:$B$133,2,0)</f>
        <v>#N/A</v>
      </c>
      <c r="D1470" s="105"/>
      <c r="E1470" s="106"/>
    </row>
    <row r="1471" ht="15.75" customHeight="1">
      <c r="A1471" s="95"/>
      <c r="B1471" s="104"/>
      <c r="C1471" s="97" t="str">
        <f>VLOOKUP(B1471,Stock!$A$2:$B$133,2,0)</f>
        <v>#N/A</v>
      </c>
      <c r="D1471" s="105"/>
      <c r="E1471" s="106"/>
    </row>
    <row r="1472" ht="15.75" customHeight="1">
      <c r="A1472" s="95"/>
      <c r="B1472" s="104"/>
      <c r="C1472" s="97" t="str">
        <f>VLOOKUP(B1472,Stock!$A$2:$B$133,2,0)</f>
        <v>#N/A</v>
      </c>
      <c r="D1472" s="105"/>
      <c r="E1472" s="106"/>
    </row>
    <row r="1473" ht="15.75" customHeight="1">
      <c r="A1473" s="95"/>
      <c r="B1473" s="104"/>
      <c r="C1473" s="97" t="str">
        <f>VLOOKUP(B1473,Stock!$A$2:$B$133,2,0)</f>
        <v>#N/A</v>
      </c>
      <c r="D1473" s="105"/>
      <c r="E1473" s="106"/>
    </row>
    <row r="1474" ht="15.75" customHeight="1">
      <c r="A1474" s="95"/>
      <c r="B1474" s="104"/>
      <c r="C1474" s="97" t="str">
        <f>VLOOKUP(B1474,Stock!$A$2:$B$133,2,0)</f>
        <v>#N/A</v>
      </c>
      <c r="D1474" s="105"/>
      <c r="E1474" s="106"/>
    </row>
    <row r="1475" ht="15.75" customHeight="1">
      <c r="A1475" s="95"/>
      <c r="B1475" s="104"/>
      <c r="C1475" s="97" t="str">
        <f>VLOOKUP(B1475,Stock!$A$2:$B$133,2,0)</f>
        <v>#N/A</v>
      </c>
      <c r="D1475" s="105"/>
      <c r="E1475" s="106"/>
    </row>
    <row r="1476" ht="15.75" customHeight="1">
      <c r="A1476" s="95"/>
      <c r="B1476" s="104"/>
      <c r="C1476" s="97" t="str">
        <f>VLOOKUP(B1476,Stock!$A$2:$B$133,2,0)</f>
        <v>#N/A</v>
      </c>
      <c r="D1476" s="105"/>
      <c r="E1476" s="106"/>
    </row>
    <row r="1477" ht="15.75" customHeight="1">
      <c r="A1477" s="95"/>
      <c r="B1477" s="104"/>
      <c r="C1477" s="97" t="str">
        <f>VLOOKUP(B1477,Stock!$A$2:$B$133,2,0)</f>
        <v>#N/A</v>
      </c>
      <c r="D1477" s="105"/>
      <c r="E1477" s="106"/>
    </row>
    <row r="1478" ht="15.75" customHeight="1">
      <c r="A1478" s="95"/>
      <c r="B1478" s="104"/>
      <c r="C1478" s="97" t="str">
        <f>VLOOKUP(B1478,Stock!$A$2:$B$133,2,0)</f>
        <v>#N/A</v>
      </c>
      <c r="D1478" s="105"/>
      <c r="E1478" s="106"/>
    </row>
    <row r="1479" ht="15.75" customHeight="1">
      <c r="A1479" s="95"/>
      <c r="B1479" s="104"/>
      <c r="C1479" s="97" t="str">
        <f>VLOOKUP(B1479,Stock!$A$2:$B$133,2,0)</f>
        <v>#N/A</v>
      </c>
      <c r="D1479" s="105"/>
      <c r="E1479" s="106"/>
    </row>
    <row r="1480" ht="15.75" customHeight="1">
      <c r="A1480" s="95"/>
      <c r="B1480" s="104"/>
      <c r="C1480" s="97" t="str">
        <f>VLOOKUP(B1480,Stock!$A$2:$B$133,2,0)</f>
        <v>#N/A</v>
      </c>
      <c r="D1480" s="105"/>
      <c r="E1480" s="106"/>
    </row>
    <row r="1481" ht="15.75" customHeight="1">
      <c r="A1481" s="95"/>
      <c r="B1481" s="104"/>
      <c r="C1481" s="97" t="str">
        <f>VLOOKUP(B1481,Stock!$A$2:$B$133,2,0)</f>
        <v>#N/A</v>
      </c>
      <c r="D1481" s="105"/>
      <c r="E1481" s="106"/>
    </row>
    <row r="1482" ht="15.75" customHeight="1">
      <c r="A1482" s="95"/>
      <c r="B1482" s="104"/>
      <c r="C1482" s="97" t="str">
        <f>VLOOKUP(B1482,Stock!$A$2:$B$133,2,0)</f>
        <v>#N/A</v>
      </c>
      <c r="D1482" s="105"/>
      <c r="E1482" s="106"/>
    </row>
    <row r="1483" ht="15.75" customHeight="1">
      <c r="A1483" s="95"/>
      <c r="B1483" s="104"/>
      <c r="C1483" s="97" t="str">
        <f>VLOOKUP(B1483,Stock!$A$2:$B$133,2,0)</f>
        <v>#N/A</v>
      </c>
      <c r="D1483" s="105"/>
      <c r="E1483" s="106"/>
    </row>
    <row r="1484" ht="15.75" customHeight="1">
      <c r="A1484" s="95"/>
      <c r="B1484" s="104"/>
      <c r="C1484" s="97" t="str">
        <f>VLOOKUP(B1484,Stock!$A$2:$B$133,2,0)</f>
        <v>#N/A</v>
      </c>
      <c r="D1484" s="105"/>
      <c r="E1484" s="106"/>
    </row>
    <row r="1485" ht="15.75" customHeight="1">
      <c r="A1485" s="95"/>
      <c r="B1485" s="104"/>
      <c r="C1485" s="97" t="str">
        <f>VLOOKUP(B1485,Stock!$A$2:$B$133,2,0)</f>
        <v>#N/A</v>
      </c>
      <c r="D1485" s="105"/>
      <c r="E1485" s="106"/>
    </row>
    <row r="1486" ht="15.75" customHeight="1">
      <c r="A1486" s="95"/>
      <c r="B1486" s="104"/>
      <c r="C1486" s="97" t="str">
        <f>VLOOKUP(B1486,Stock!$A$2:$B$133,2,0)</f>
        <v>#N/A</v>
      </c>
      <c r="D1486" s="105"/>
      <c r="E1486" s="106"/>
    </row>
    <row r="1487" ht="15.75" customHeight="1">
      <c r="A1487" s="95"/>
      <c r="B1487" s="104"/>
      <c r="C1487" s="97" t="str">
        <f>VLOOKUP(B1487,Stock!$A$2:$B$133,2,0)</f>
        <v>#N/A</v>
      </c>
      <c r="D1487" s="105"/>
      <c r="E1487" s="106"/>
    </row>
    <row r="1488" ht="15.75" customHeight="1">
      <c r="A1488" s="95"/>
      <c r="B1488" s="104"/>
      <c r="C1488" s="97" t="str">
        <f>VLOOKUP(B1488,Stock!$A$2:$B$133,2,0)</f>
        <v>#N/A</v>
      </c>
      <c r="D1488" s="105"/>
      <c r="E1488" s="106"/>
    </row>
    <row r="1489" ht="15.75" customHeight="1">
      <c r="A1489" s="95"/>
      <c r="B1489" s="104"/>
      <c r="C1489" s="97" t="str">
        <f>VLOOKUP(B1489,Stock!$A$2:$B$133,2,0)</f>
        <v>#N/A</v>
      </c>
      <c r="D1489" s="105"/>
      <c r="E1489" s="106"/>
    </row>
    <row r="1490" ht="15.75" customHeight="1">
      <c r="A1490" s="95"/>
      <c r="B1490" s="104"/>
      <c r="C1490" s="97" t="str">
        <f>VLOOKUP(B1490,Stock!$A$2:$B$133,2,0)</f>
        <v>#N/A</v>
      </c>
      <c r="D1490" s="105"/>
      <c r="E1490" s="106"/>
    </row>
    <row r="1491" ht="15.75" customHeight="1">
      <c r="A1491" s="95"/>
      <c r="B1491" s="104"/>
      <c r="C1491" s="97" t="str">
        <f>VLOOKUP(B1491,Stock!$A$2:$B$133,2,0)</f>
        <v>#N/A</v>
      </c>
      <c r="D1491" s="105"/>
      <c r="E1491" s="106"/>
    </row>
    <row r="1492" ht="15.75" customHeight="1">
      <c r="A1492" s="95"/>
      <c r="B1492" s="104"/>
      <c r="C1492" s="97" t="str">
        <f>VLOOKUP(B1492,Stock!$A$2:$B$133,2,0)</f>
        <v>#N/A</v>
      </c>
      <c r="D1492" s="105"/>
      <c r="E1492" s="106"/>
    </row>
    <row r="1493" ht="15.75" customHeight="1">
      <c r="A1493" s="95"/>
      <c r="B1493" s="104"/>
      <c r="C1493" s="97" t="str">
        <f>VLOOKUP(B1493,Stock!$A$2:$B$133,2,0)</f>
        <v>#N/A</v>
      </c>
      <c r="D1493" s="105"/>
      <c r="E1493" s="106"/>
    </row>
    <row r="1494" ht="15.75" customHeight="1">
      <c r="A1494" s="95"/>
      <c r="B1494" s="104"/>
      <c r="C1494" s="97" t="str">
        <f>VLOOKUP(B1494,Stock!$A$2:$B$133,2,0)</f>
        <v>#N/A</v>
      </c>
      <c r="D1494" s="105"/>
      <c r="E1494" s="106"/>
    </row>
    <row r="1495" ht="15.75" customHeight="1">
      <c r="A1495" s="95"/>
      <c r="B1495" s="104"/>
      <c r="C1495" s="97" t="str">
        <f>VLOOKUP(B1495,Stock!$A$2:$B$133,2,0)</f>
        <v>#N/A</v>
      </c>
      <c r="D1495" s="105"/>
      <c r="E1495" s="106"/>
    </row>
    <row r="1496" ht="15.75" customHeight="1">
      <c r="A1496" s="95"/>
      <c r="B1496" s="104"/>
      <c r="C1496" s="97" t="str">
        <f>VLOOKUP(B1496,Stock!$A$2:$B$133,2,0)</f>
        <v>#N/A</v>
      </c>
      <c r="D1496" s="105"/>
      <c r="E1496" s="106"/>
    </row>
    <row r="1497" ht="15.75" customHeight="1">
      <c r="A1497" s="95"/>
      <c r="B1497" s="104"/>
      <c r="C1497" s="97" t="str">
        <f>VLOOKUP(B1497,Stock!$A$2:$B$133,2,0)</f>
        <v>#N/A</v>
      </c>
      <c r="D1497" s="105"/>
      <c r="E1497" s="106"/>
    </row>
    <row r="1498" ht="15.75" customHeight="1">
      <c r="A1498" s="95"/>
      <c r="B1498" s="104"/>
      <c r="C1498" s="97" t="str">
        <f>VLOOKUP(B1498,Stock!$A$2:$B$133,2,0)</f>
        <v>#N/A</v>
      </c>
      <c r="D1498" s="105"/>
      <c r="E1498" s="106"/>
    </row>
    <row r="1499" ht="15.75" customHeight="1">
      <c r="A1499" s="95"/>
      <c r="B1499" s="104"/>
      <c r="C1499" s="97" t="str">
        <f>VLOOKUP(B1499,Stock!$A$2:$B$133,2,0)</f>
        <v>#N/A</v>
      </c>
      <c r="D1499" s="105"/>
      <c r="E1499" s="106"/>
    </row>
    <row r="1500" ht="15.75" customHeight="1">
      <c r="A1500" s="95"/>
      <c r="B1500" s="104"/>
      <c r="C1500" s="97" t="str">
        <f>VLOOKUP(B1500,Stock!$A$2:$B$133,2,0)</f>
        <v>#N/A</v>
      </c>
      <c r="D1500" s="105"/>
      <c r="E1500" s="106"/>
    </row>
    <row r="1501" ht="15.75" customHeight="1">
      <c r="A1501" s="95"/>
      <c r="B1501" s="104"/>
      <c r="C1501" s="97" t="str">
        <f>VLOOKUP(B1501,Stock!$A$2:$B$133,2,0)</f>
        <v>#N/A</v>
      </c>
      <c r="D1501" s="105"/>
      <c r="E1501" s="106"/>
    </row>
    <row r="1502" ht="15.75" customHeight="1">
      <c r="A1502" s="95"/>
      <c r="B1502" s="104"/>
      <c r="C1502" s="97" t="str">
        <f>VLOOKUP(B1502,Stock!$A$2:$B$133,2,0)</f>
        <v>#N/A</v>
      </c>
      <c r="D1502" s="105"/>
      <c r="E1502" s="106"/>
    </row>
    <row r="1503" ht="15.75" customHeight="1">
      <c r="A1503" s="95"/>
      <c r="B1503" s="104"/>
      <c r="C1503" s="97" t="str">
        <f>VLOOKUP(B1503,Stock!$A$2:$B$133,2,0)</f>
        <v>#N/A</v>
      </c>
      <c r="D1503" s="105"/>
      <c r="E1503" s="106"/>
    </row>
    <row r="1504" ht="15.75" customHeight="1">
      <c r="A1504" s="95"/>
      <c r="B1504" s="104"/>
      <c r="C1504" s="97" t="str">
        <f>VLOOKUP(B1504,Stock!$A$2:$B$133,2,0)</f>
        <v>#N/A</v>
      </c>
      <c r="D1504" s="105"/>
      <c r="E1504" s="106"/>
    </row>
    <row r="1505" ht="15.75" customHeight="1">
      <c r="A1505" s="95"/>
      <c r="B1505" s="104"/>
      <c r="C1505" s="97" t="str">
        <f>VLOOKUP(B1505,Stock!$A$2:$B$133,2,0)</f>
        <v>#N/A</v>
      </c>
      <c r="D1505" s="105"/>
      <c r="E1505" s="106"/>
    </row>
    <row r="1506" ht="15.75" customHeight="1">
      <c r="A1506" s="95"/>
      <c r="B1506" s="104"/>
      <c r="C1506" s="97" t="str">
        <f>VLOOKUP(B1506,Stock!$A$2:$B$133,2,0)</f>
        <v>#N/A</v>
      </c>
      <c r="D1506" s="105"/>
      <c r="E1506" s="106"/>
    </row>
    <row r="1507" ht="15.75" customHeight="1">
      <c r="A1507" s="95"/>
      <c r="B1507" s="104"/>
      <c r="C1507" s="97" t="str">
        <f>VLOOKUP(B1507,Stock!$A$2:$B$133,2,0)</f>
        <v>#N/A</v>
      </c>
      <c r="D1507" s="105"/>
      <c r="E1507" s="106"/>
    </row>
    <row r="1508" ht="15.75" customHeight="1">
      <c r="A1508" s="95"/>
      <c r="B1508" s="104"/>
      <c r="C1508" s="97" t="str">
        <f>VLOOKUP(B1508,Stock!$A$2:$B$133,2,0)</f>
        <v>#N/A</v>
      </c>
      <c r="D1508" s="105"/>
      <c r="E1508" s="106"/>
    </row>
    <row r="1509" ht="15.75" customHeight="1">
      <c r="A1509" s="95"/>
      <c r="B1509" s="104"/>
      <c r="C1509" s="97" t="str">
        <f>VLOOKUP(B1509,Stock!$A$2:$B$133,2,0)</f>
        <v>#N/A</v>
      </c>
      <c r="D1509" s="105"/>
      <c r="E1509" s="106"/>
    </row>
    <row r="1510" ht="15.75" customHeight="1">
      <c r="A1510" s="95"/>
      <c r="B1510" s="104"/>
      <c r="C1510" s="97" t="str">
        <f>VLOOKUP(B1510,Stock!$A$2:$B$133,2,0)</f>
        <v>#N/A</v>
      </c>
      <c r="D1510" s="105"/>
      <c r="E1510" s="106"/>
    </row>
    <row r="1511" ht="15.75" customHeight="1">
      <c r="A1511" s="95"/>
      <c r="B1511" s="104"/>
      <c r="C1511" s="97" t="str">
        <f>VLOOKUP(B1511,Stock!$A$2:$B$133,2,0)</f>
        <v>#N/A</v>
      </c>
      <c r="D1511" s="105"/>
      <c r="E1511" s="106"/>
    </row>
    <row r="1512" ht="15.75" customHeight="1">
      <c r="A1512" s="95"/>
      <c r="B1512" s="104"/>
      <c r="C1512" s="97" t="str">
        <f>VLOOKUP(B1512,Stock!$A$2:$B$133,2,0)</f>
        <v>#N/A</v>
      </c>
      <c r="D1512" s="105"/>
      <c r="E1512" s="106"/>
    </row>
    <row r="1513" ht="15.75" customHeight="1">
      <c r="A1513" s="95"/>
      <c r="B1513" s="104"/>
      <c r="C1513" s="97" t="str">
        <f>VLOOKUP(B1513,Stock!$A$2:$B$133,2,0)</f>
        <v>#N/A</v>
      </c>
      <c r="D1513" s="105"/>
      <c r="E1513" s="106"/>
    </row>
    <row r="1514" ht="15.75" customHeight="1">
      <c r="A1514" s="95"/>
      <c r="B1514" s="104"/>
      <c r="C1514" s="97" t="str">
        <f>VLOOKUP(B1514,Stock!$A$2:$B$133,2,0)</f>
        <v>#N/A</v>
      </c>
      <c r="D1514" s="105"/>
      <c r="E1514" s="106"/>
    </row>
    <row r="1515" ht="15.75" customHeight="1">
      <c r="A1515" s="95"/>
      <c r="B1515" s="104"/>
      <c r="C1515" s="97" t="str">
        <f>VLOOKUP(B1515,Stock!$A$2:$B$133,2,0)</f>
        <v>#N/A</v>
      </c>
      <c r="D1515" s="105"/>
      <c r="E1515" s="106"/>
    </row>
    <row r="1516" ht="15.75" customHeight="1">
      <c r="A1516" s="95"/>
      <c r="B1516" s="104"/>
      <c r="C1516" s="97" t="str">
        <f>VLOOKUP(B1516,Stock!$A$2:$B$133,2,0)</f>
        <v>#N/A</v>
      </c>
      <c r="D1516" s="105"/>
      <c r="E1516" s="106"/>
    </row>
    <row r="1517" ht="15.75" customHeight="1">
      <c r="A1517" s="95"/>
      <c r="B1517" s="104"/>
      <c r="C1517" s="97" t="str">
        <f>VLOOKUP(B1517,Stock!$A$2:$B$133,2,0)</f>
        <v>#N/A</v>
      </c>
      <c r="D1517" s="105"/>
      <c r="E1517" s="106"/>
    </row>
    <row r="1518" ht="15.75" customHeight="1">
      <c r="A1518" s="95"/>
      <c r="B1518" s="104"/>
      <c r="C1518" s="97" t="str">
        <f>VLOOKUP(B1518,Stock!$A$2:$B$133,2,0)</f>
        <v>#N/A</v>
      </c>
      <c r="D1518" s="105"/>
      <c r="E1518" s="106"/>
    </row>
    <row r="1519" ht="15.75" customHeight="1">
      <c r="A1519" s="95"/>
      <c r="B1519" s="104"/>
      <c r="C1519" s="97" t="str">
        <f>VLOOKUP(B1519,Stock!$A$2:$B$133,2,0)</f>
        <v>#N/A</v>
      </c>
      <c r="D1519" s="105"/>
      <c r="E1519" s="106"/>
    </row>
    <row r="1520" ht="15.75" customHeight="1">
      <c r="A1520" s="95"/>
      <c r="B1520" s="104"/>
      <c r="C1520" s="97" t="str">
        <f>VLOOKUP(B1520,Stock!$A$2:$B$133,2,0)</f>
        <v>#N/A</v>
      </c>
      <c r="D1520" s="105"/>
      <c r="E1520" s="106"/>
    </row>
    <row r="1521" ht="15.75" customHeight="1">
      <c r="A1521" s="95"/>
      <c r="B1521" s="104"/>
      <c r="C1521" s="97" t="str">
        <f>VLOOKUP(B1521,Stock!$A$2:$B$133,2,0)</f>
        <v>#N/A</v>
      </c>
      <c r="D1521" s="105"/>
      <c r="E1521" s="106"/>
    </row>
    <row r="1522" ht="15.75" customHeight="1">
      <c r="A1522" s="95"/>
      <c r="B1522" s="104"/>
      <c r="C1522" s="97" t="str">
        <f>VLOOKUP(B1522,Stock!$A$2:$B$133,2,0)</f>
        <v>#N/A</v>
      </c>
      <c r="D1522" s="105"/>
      <c r="E1522" s="106"/>
    </row>
    <row r="1523" ht="15.75" customHeight="1">
      <c r="A1523" s="95"/>
      <c r="B1523" s="104"/>
      <c r="C1523" s="97" t="str">
        <f>VLOOKUP(B1523,Stock!$A$2:$B$133,2,0)</f>
        <v>#N/A</v>
      </c>
      <c r="D1523" s="105"/>
      <c r="E1523" s="106"/>
    </row>
    <row r="1524" ht="15.75" customHeight="1">
      <c r="A1524" s="95"/>
      <c r="B1524" s="104"/>
      <c r="C1524" s="97" t="str">
        <f>VLOOKUP(B1524,Stock!$A$2:$B$133,2,0)</f>
        <v>#N/A</v>
      </c>
      <c r="D1524" s="105"/>
      <c r="E1524" s="106"/>
    </row>
    <row r="1525" ht="15.75" customHeight="1">
      <c r="A1525" s="95"/>
      <c r="B1525" s="104"/>
      <c r="C1525" s="97" t="str">
        <f>VLOOKUP(B1525,Stock!$A$2:$B$133,2,0)</f>
        <v>#N/A</v>
      </c>
      <c r="D1525" s="105"/>
      <c r="E1525" s="106"/>
    </row>
    <row r="1526" ht="15.75" customHeight="1">
      <c r="A1526" s="95"/>
      <c r="B1526" s="104"/>
      <c r="C1526" s="97" t="str">
        <f>VLOOKUP(B1526,Stock!$A$2:$B$133,2,0)</f>
        <v>#N/A</v>
      </c>
      <c r="D1526" s="105"/>
      <c r="E1526" s="106"/>
    </row>
    <row r="1527" ht="15.75" customHeight="1">
      <c r="A1527" s="95"/>
      <c r="B1527" s="104"/>
      <c r="C1527" s="97" t="str">
        <f>VLOOKUP(B1527,Stock!$A$2:$B$133,2,0)</f>
        <v>#N/A</v>
      </c>
      <c r="D1527" s="105"/>
      <c r="E1527" s="106"/>
    </row>
    <row r="1528" ht="15.75" customHeight="1">
      <c r="A1528" s="95"/>
      <c r="B1528" s="104"/>
      <c r="C1528" s="97" t="str">
        <f>VLOOKUP(B1528,Stock!$A$2:$B$133,2,0)</f>
        <v>#N/A</v>
      </c>
      <c r="D1528" s="105"/>
      <c r="E1528" s="106"/>
    </row>
    <row r="1529" ht="15.75" customHeight="1">
      <c r="A1529" s="95"/>
      <c r="B1529" s="104"/>
      <c r="C1529" s="97" t="str">
        <f>VLOOKUP(B1529,Stock!$A$2:$B$133,2,0)</f>
        <v>#N/A</v>
      </c>
      <c r="D1529" s="105"/>
      <c r="E1529" s="106"/>
    </row>
    <row r="1530" ht="15.75" customHeight="1">
      <c r="A1530" s="95"/>
      <c r="B1530" s="104"/>
      <c r="C1530" s="97" t="str">
        <f>VLOOKUP(B1530,Stock!$A$2:$B$133,2,0)</f>
        <v>#N/A</v>
      </c>
      <c r="D1530" s="105"/>
      <c r="E1530" s="106"/>
    </row>
    <row r="1531" ht="15.75" customHeight="1">
      <c r="A1531" s="95"/>
      <c r="B1531" s="104"/>
      <c r="C1531" s="97" t="str">
        <f>VLOOKUP(B1531,Stock!$A$2:$B$133,2,0)</f>
        <v>#N/A</v>
      </c>
      <c r="D1531" s="105"/>
      <c r="E1531" s="106"/>
    </row>
    <row r="1532" ht="15.75" customHeight="1">
      <c r="A1532" s="95"/>
      <c r="B1532" s="104"/>
      <c r="C1532" s="97" t="str">
        <f>VLOOKUP(B1532,Stock!$A$2:$B$133,2,0)</f>
        <v>#N/A</v>
      </c>
      <c r="D1532" s="105"/>
      <c r="E1532" s="106"/>
    </row>
    <row r="1533" ht="15.75" customHeight="1">
      <c r="A1533" s="95"/>
      <c r="B1533" s="104"/>
      <c r="C1533" s="97" t="str">
        <f>VLOOKUP(B1533,Stock!$A$2:$B$133,2,0)</f>
        <v>#N/A</v>
      </c>
      <c r="D1533" s="105"/>
      <c r="E1533" s="106"/>
    </row>
    <row r="1534" ht="15.75" customHeight="1">
      <c r="A1534" s="95"/>
      <c r="B1534" s="104"/>
      <c r="C1534" s="97" t="str">
        <f>VLOOKUP(B1534,Stock!$A$2:$B$133,2,0)</f>
        <v>#N/A</v>
      </c>
      <c r="D1534" s="105"/>
      <c r="E1534" s="106"/>
    </row>
    <row r="1535" ht="15.75" customHeight="1">
      <c r="A1535" s="95"/>
      <c r="B1535" s="104"/>
      <c r="C1535" s="97" t="str">
        <f>VLOOKUP(B1535,Stock!$A$2:$B$133,2,0)</f>
        <v>#N/A</v>
      </c>
      <c r="D1535" s="105"/>
      <c r="E1535" s="106"/>
    </row>
    <row r="1536" ht="15.75" customHeight="1">
      <c r="A1536" s="95"/>
      <c r="B1536" s="104"/>
      <c r="C1536" s="97" t="str">
        <f>VLOOKUP(B1536,Stock!$A$2:$B$133,2,0)</f>
        <v>#N/A</v>
      </c>
      <c r="D1536" s="105"/>
      <c r="E1536" s="106"/>
    </row>
    <row r="1537" ht="15.75" customHeight="1">
      <c r="A1537" s="95"/>
      <c r="B1537" s="104"/>
      <c r="C1537" s="97" t="str">
        <f>VLOOKUP(B1537,Stock!$A$2:$B$133,2,0)</f>
        <v>#N/A</v>
      </c>
      <c r="D1537" s="105"/>
      <c r="E1537" s="106"/>
    </row>
    <row r="1538" ht="15.75" customHeight="1">
      <c r="A1538" s="95"/>
      <c r="B1538" s="104"/>
      <c r="C1538" s="97" t="str">
        <f>VLOOKUP(B1538,Stock!$A$2:$B$133,2,0)</f>
        <v>#N/A</v>
      </c>
      <c r="D1538" s="105"/>
      <c r="E1538" s="106"/>
    </row>
    <row r="1539" ht="15.75" customHeight="1">
      <c r="A1539" s="95"/>
      <c r="B1539" s="104"/>
      <c r="C1539" s="97" t="str">
        <f>VLOOKUP(B1539,Stock!$A$2:$B$133,2,0)</f>
        <v>#N/A</v>
      </c>
      <c r="D1539" s="105"/>
      <c r="E1539" s="106"/>
    </row>
    <row r="1540" ht="15.75" customHeight="1">
      <c r="A1540" s="95"/>
      <c r="B1540" s="104"/>
      <c r="C1540" s="97" t="str">
        <f>VLOOKUP(B1540,Stock!$A$2:$B$133,2,0)</f>
        <v>#N/A</v>
      </c>
      <c r="D1540" s="105"/>
      <c r="E1540" s="106"/>
    </row>
    <row r="1541" ht="15.75" customHeight="1">
      <c r="A1541" s="95"/>
      <c r="B1541" s="104"/>
      <c r="C1541" s="97" t="str">
        <f>VLOOKUP(B1541,Stock!$A$2:$B$133,2,0)</f>
        <v>#N/A</v>
      </c>
      <c r="D1541" s="105"/>
      <c r="E1541" s="106"/>
    </row>
    <row r="1542" ht="15.75" customHeight="1">
      <c r="A1542" s="95"/>
      <c r="B1542" s="104"/>
      <c r="C1542" s="97" t="str">
        <f>VLOOKUP(B1542,Stock!$A$2:$B$133,2,0)</f>
        <v>#N/A</v>
      </c>
      <c r="D1542" s="105"/>
      <c r="E1542" s="106"/>
    </row>
    <row r="1543" ht="15.75" customHeight="1">
      <c r="A1543" s="95"/>
      <c r="B1543" s="104"/>
      <c r="C1543" s="97" t="str">
        <f>VLOOKUP(B1543,Stock!$A$2:$B$133,2,0)</f>
        <v>#N/A</v>
      </c>
      <c r="D1543" s="105"/>
      <c r="E1543" s="106"/>
    </row>
    <row r="1544" ht="15.75" customHeight="1">
      <c r="A1544" s="95"/>
      <c r="B1544" s="104"/>
      <c r="C1544" s="97" t="str">
        <f>VLOOKUP(B1544,Stock!$A$2:$B$133,2,0)</f>
        <v>#N/A</v>
      </c>
      <c r="D1544" s="105"/>
      <c r="E1544" s="106"/>
    </row>
    <row r="1545" ht="15.75" customHeight="1">
      <c r="A1545" s="95"/>
      <c r="B1545" s="104"/>
      <c r="C1545" s="97" t="str">
        <f>VLOOKUP(B1545,Stock!$A$2:$B$133,2,0)</f>
        <v>#N/A</v>
      </c>
      <c r="D1545" s="105"/>
      <c r="E1545" s="106"/>
    </row>
    <row r="1546" ht="15.75" customHeight="1">
      <c r="A1546" s="95"/>
      <c r="B1546" s="104"/>
      <c r="C1546" s="97" t="str">
        <f>VLOOKUP(B1546,Stock!$A$2:$B$133,2,0)</f>
        <v>#N/A</v>
      </c>
      <c r="D1546" s="105"/>
      <c r="E1546" s="106"/>
    </row>
    <row r="1547" ht="15.75" customHeight="1">
      <c r="A1547" s="95"/>
      <c r="B1547" s="104"/>
      <c r="C1547" s="97" t="str">
        <f>VLOOKUP(B1547,Stock!$A$2:$B$133,2,0)</f>
        <v>#N/A</v>
      </c>
      <c r="D1547" s="105"/>
      <c r="E1547" s="106"/>
    </row>
    <row r="1548" ht="15.75" customHeight="1">
      <c r="A1548" s="95"/>
      <c r="B1548" s="104"/>
      <c r="C1548" s="97" t="str">
        <f>VLOOKUP(B1548,Stock!$A$2:$B$133,2,0)</f>
        <v>#N/A</v>
      </c>
      <c r="D1548" s="105"/>
      <c r="E1548" s="106"/>
    </row>
    <row r="1549" ht="15.75" customHeight="1">
      <c r="A1549" s="95"/>
      <c r="B1549" s="104"/>
      <c r="C1549" s="97" t="str">
        <f>VLOOKUP(B1549,Stock!$A$2:$B$133,2,0)</f>
        <v>#N/A</v>
      </c>
      <c r="D1549" s="105"/>
      <c r="E1549" s="106"/>
    </row>
    <row r="1550" ht="15.75" customHeight="1">
      <c r="A1550" s="95"/>
      <c r="B1550" s="104"/>
      <c r="C1550" s="97" t="str">
        <f>VLOOKUP(B1550,Stock!$A$2:$B$133,2,0)</f>
        <v>#N/A</v>
      </c>
      <c r="D1550" s="105"/>
      <c r="E1550" s="106"/>
    </row>
    <row r="1551" ht="15.75" customHeight="1">
      <c r="A1551" s="95"/>
      <c r="B1551" s="104"/>
      <c r="C1551" s="97" t="str">
        <f>VLOOKUP(B1551,Stock!$A$2:$B$133,2,0)</f>
        <v>#N/A</v>
      </c>
      <c r="D1551" s="105"/>
      <c r="E1551" s="106"/>
    </row>
    <row r="1552" ht="15.75" customHeight="1">
      <c r="A1552" s="95"/>
      <c r="B1552" s="104"/>
      <c r="C1552" s="97" t="str">
        <f>VLOOKUP(B1552,Stock!$A$2:$B$133,2,0)</f>
        <v>#N/A</v>
      </c>
      <c r="D1552" s="105"/>
      <c r="E1552" s="106"/>
    </row>
    <row r="1553" ht="15.75" customHeight="1">
      <c r="A1553" s="95"/>
      <c r="B1553" s="104"/>
      <c r="C1553" s="97" t="str">
        <f>VLOOKUP(B1553,Stock!$A$2:$B$133,2,0)</f>
        <v>#N/A</v>
      </c>
      <c r="D1553" s="105"/>
      <c r="E1553" s="106"/>
    </row>
    <row r="1554" ht="15.75" customHeight="1">
      <c r="A1554" s="95"/>
      <c r="B1554" s="104"/>
      <c r="C1554" s="97" t="str">
        <f>VLOOKUP(B1554,Stock!$A$2:$B$133,2,0)</f>
        <v>#N/A</v>
      </c>
      <c r="D1554" s="105"/>
      <c r="E1554" s="106"/>
    </row>
    <row r="1555" ht="15.75" customHeight="1">
      <c r="A1555" s="95"/>
      <c r="B1555" s="104"/>
      <c r="C1555" s="97" t="str">
        <f>VLOOKUP(B1555,Stock!$A$2:$B$133,2,0)</f>
        <v>#N/A</v>
      </c>
      <c r="D1555" s="105"/>
      <c r="E1555" s="106"/>
    </row>
    <row r="1556" ht="15.75" customHeight="1">
      <c r="A1556" s="95"/>
      <c r="B1556" s="104"/>
      <c r="C1556" s="97" t="str">
        <f>VLOOKUP(B1556,Stock!$A$2:$B$133,2,0)</f>
        <v>#N/A</v>
      </c>
      <c r="D1556" s="105"/>
      <c r="E1556" s="106"/>
    </row>
    <row r="1557" ht="15.75" customHeight="1">
      <c r="A1557" s="95"/>
      <c r="B1557" s="104"/>
      <c r="C1557" s="97" t="str">
        <f>VLOOKUP(B1557,Stock!$A$2:$B$133,2,0)</f>
        <v>#N/A</v>
      </c>
      <c r="D1557" s="105"/>
      <c r="E1557" s="106"/>
    </row>
    <row r="1558" ht="15.75" customHeight="1">
      <c r="A1558" s="95"/>
      <c r="B1558" s="104"/>
      <c r="C1558" s="97" t="str">
        <f>VLOOKUP(B1558,Stock!$A$2:$B$133,2,0)</f>
        <v>#N/A</v>
      </c>
      <c r="D1558" s="105"/>
      <c r="E1558" s="106"/>
    </row>
    <row r="1559" ht="15.75" customHeight="1">
      <c r="A1559" s="95"/>
      <c r="B1559" s="104"/>
      <c r="C1559" s="97" t="str">
        <f>VLOOKUP(B1559,Stock!$A$2:$B$133,2,0)</f>
        <v>#N/A</v>
      </c>
      <c r="D1559" s="105"/>
      <c r="E1559" s="106"/>
    </row>
    <row r="1560" ht="15.75" customHeight="1">
      <c r="A1560" s="95"/>
      <c r="B1560" s="104"/>
      <c r="C1560" s="97" t="str">
        <f>VLOOKUP(B1560,Stock!$A$2:$B$133,2,0)</f>
        <v>#N/A</v>
      </c>
      <c r="D1560" s="105"/>
      <c r="E1560" s="106"/>
    </row>
    <row r="1561" ht="15.75" customHeight="1">
      <c r="A1561" s="95"/>
      <c r="B1561" s="104"/>
      <c r="C1561" s="97" t="str">
        <f>VLOOKUP(B1561,Stock!$A$2:$B$133,2,0)</f>
        <v>#N/A</v>
      </c>
      <c r="D1561" s="105"/>
      <c r="E1561" s="106"/>
    </row>
    <row r="1562" ht="15.75" customHeight="1">
      <c r="A1562" s="95"/>
      <c r="B1562" s="104"/>
      <c r="C1562" s="97" t="str">
        <f>VLOOKUP(B1562,Stock!$A$2:$B$133,2,0)</f>
        <v>#N/A</v>
      </c>
      <c r="D1562" s="105"/>
      <c r="E1562" s="106"/>
    </row>
    <row r="1563" ht="15.75" customHeight="1">
      <c r="A1563" s="95"/>
      <c r="B1563" s="104"/>
      <c r="C1563" s="97" t="str">
        <f>VLOOKUP(B1563,Stock!$A$2:$B$133,2,0)</f>
        <v>#N/A</v>
      </c>
      <c r="D1563" s="105"/>
      <c r="E1563" s="106"/>
    </row>
    <row r="1564" ht="15.75" customHeight="1">
      <c r="A1564" s="95"/>
      <c r="B1564" s="104"/>
      <c r="C1564" s="97" t="str">
        <f>VLOOKUP(B1564,Stock!$A$2:$B$133,2,0)</f>
        <v>#N/A</v>
      </c>
      <c r="D1564" s="105"/>
      <c r="E1564" s="106"/>
    </row>
    <row r="1565" ht="15.75" customHeight="1">
      <c r="A1565" s="95"/>
      <c r="B1565" s="104"/>
      <c r="C1565" s="97" t="str">
        <f>VLOOKUP(B1565,Stock!$A$2:$B$133,2,0)</f>
        <v>#N/A</v>
      </c>
      <c r="D1565" s="105"/>
      <c r="E1565" s="106"/>
    </row>
    <row r="1566" ht="15.75" customHeight="1">
      <c r="A1566" s="95"/>
      <c r="B1566" s="104"/>
      <c r="C1566" s="97" t="str">
        <f>VLOOKUP(B1566,Stock!$A$2:$B$133,2,0)</f>
        <v>#N/A</v>
      </c>
      <c r="D1566" s="105"/>
      <c r="E1566" s="106"/>
    </row>
    <row r="1567" ht="15.75" customHeight="1">
      <c r="A1567" s="95"/>
      <c r="B1567" s="104"/>
      <c r="C1567" s="97" t="str">
        <f>VLOOKUP(B1567,Stock!$A$2:$B$133,2,0)</f>
        <v>#N/A</v>
      </c>
      <c r="D1567" s="105"/>
      <c r="E1567" s="106"/>
    </row>
    <row r="1568" ht="15.75" customHeight="1">
      <c r="A1568" s="95"/>
      <c r="B1568" s="104"/>
      <c r="C1568" s="97" t="str">
        <f>VLOOKUP(B1568,Stock!$A$2:$B$133,2,0)</f>
        <v>#N/A</v>
      </c>
      <c r="D1568" s="105"/>
      <c r="E1568" s="106"/>
    </row>
    <row r="1569" ht="15.75" customHeight="1">
      <c r="A1569" s="95"/>
      <c r="B1569" s="104"/>
      <c r="C1569" s="97" t="str">
        <f>VLOOKUP(B1569,Stock!$A$2:$B$133,2,0)</f>
        <v>#N/A</v>
      </c>
      <c r="D1569" s="105"/>
      <c r="E1569" s="106"/>
    </row>
    <row r="1570" ht="15.75" customHeight="1">
      <c r="A1570" s="95"/>
      <c r="B1570" s="104"/>
      <c r="C1570" s="97" t="str">
        <f>VLOOKUP(B1570,Stock!$A$2:$B$133,2,0)</f>
        <v>#N/A</v>
      </c>
      <c r="D1570" s="105"/>
      <c r="E1570" s="106"/>
    </row>
    <row r="1571" ht="15.75" customHeight="1">
      <c r="A1571" s="95"/>
      <c r="B1571" s="104"/>
      <c r="C1571" s="97" t="str">
        <f>VLOOKUP(B1571,Stock!$A$2:$B$133,2,0)</f>
        <v>#N/A</v>
      </c>
      <c r="D1571" s="105"/>
      <c r="E1571" s="106"/>
    </row>
    <row r="1572" ht="15.75" customHeight="1">
      <c r="A1572" s="95"/>
      <c r="B1572" s="104"/>
      <c r="C1572" s="97" t="str">
        <f>VLOOKUP(B1572,Stock!$A$2:$B$133,2,0)</f>
        <v>#N/A</v>
      </c>
      <c r="D1572" s="105"/>
      <c r="E1572" s="106"/>
    </row>
    <row r="1573" ht="15.75" customHeight="1">
      <c r="A1573" s="95"/>
      <c r="B1573" s="104"/>
      <c r="C1573" s="97" t="str">
        <f>VLOOKUP(B1573,Stock!$A$2:$B$133,2,0)</f>
        <v>#N/A</v>
      </c>
      <c r="D1573" s="105"/>
      <c r="E1573" s="106"/>
    </row>
    <row r="1574" ht="15.75" customHeight="1">
      <c r="A1574" s="95"/>
      <c r="B1574" s="104"/>
      <c r="C1574" s="97" t="str">
        <f>VLOOKUP(B1574,Stock!$A$2:$B$133,2,0)</f>
        <v>#N/A</v>
      </c>
      <c r="D1574" s="105"/>
      <c r="E1574" s="106"/>
    </row>
    <row r="1575" ht="15.75" customHeight="1">
      <c r="A1575" s="95"/>
      <c r="B1575" s="104"/>
      <c r="C1575" s="97" t="str">
        <f>VLOOKUP(B1575,Stock!$A$2:$B$133,2,0)</f>
        <v>#N/A</v>
      </c>
      <c r="D1575" s="105"/>
      <c r="E1575" s="106"/>
    </row>
    <row r="1576" ht="15.75" customHeight="1">
      <c r="A1576" s="95"/>
      <c r="B1576" s="104"/>
      <c r="C1576" s="97" t="str">
        <f>VLOOKUP(B1576,Stock!$A$2:$B$133,2,0)</f>
        <v>#N/A</v>
      </c>
      <c r="D1576" s="105"/>
      <c r="E1576" s="106"/>
    </row>
    <row r="1577" ht="15.75" customHeight="1">
      <c r="A1577" s="95"/>
      <c r="B1577" s="104"/>
      <c r="C1577" s="97" t="str">
        <f>VLOOKUP(B1577,Stock!$A$2:$B$133,2,0)</f>
        <v>#N/A</v>
      </c>
      <c r="D1577" s="105"/>
      <c r="E1577" s="106"/>
    </row>
    <row r="1578" ht="15.75" customHeight="1">
      <c r="A1578" s="95"/>
      <c r="B1578" s="104"/>
      <c r="C1578" s="97" t="str">
        <f>VLOOKUP(B1578,Stock!$A$2:$B$133,2,0)</f>
        <v>#N/A</v>
      </c>
      <c r="D1578" s="105"/>
      <c r="E1578" s="106"/>
    </row>
    <row r="1579" ht="15.75" customHeight="1">
      <c r="A1579" s="95"/>
      <c r="B1579" s="104"/>
      <c r="C1579" s="97" t="str">
        <f>VLOOKUP(B1579,Stock!$A$2:$B$133,2,0)</f>
        <v>#N/A</v>
      </c>
      <c r="D1579" s="105"/>
      <c r="E1579" s="106"/>
    </row>
    <row r="1580" ht="15.75" customHeight="1">
      <c r="A1580" s="95"/>
      <c r="B1580" s="104"/>
      <c r="C1580" s="97" t="str">
        <f>VLOOKUP(B1580,Stock!$A$2:$B$133,2,0)</f>
        <v>#N/A</v>
      </c>
      <c r="D1580" s="105"/>
      <c r="E1580" s="106"/>
    </row>
    <row r="1581" ht="15.75" customHeight="1">
      <c r="A1581" s="95"/>
      <c r="B1581" s="104"/>
      <c r="C1581" s="97" t="str">
        <f>VLOOKUP(B1581,Stock!$A$2:$B$133,2,0)</f>
        <v>#N/A</v>
      </c>
      <c r="D1581" s="105"/>
      <c r="E1581" s="106"/>
    </row>
    <row r="1582" ht="15.75" customHeight="1">
      <c r="A1582" s="95"/>
      <c r="B1582" s="104"/>
      <c r="C1582" s="97" t="str">
        <f>VLOOKUP(B1582,Stock!$A$2:$B$133,2,0)</f>
        <v>#N/A</v>
      </c>
      <c r="D1582" s="105"/>
      <c r="E1582" s="106"/>
    </row>
    <row r="1583" ht="15.75" customHeight="1">
      <c r="A1583" s="95"/>
      <c r="B1583" s="104"/>
      <c r="C1583" s="97" t="str">
        <f>VLOOKUP(B1583,Stock!$A$2:$B$133,2,0)</f>
        <v>#N/A</v>
      </c>
      <c r="D1583" s="105"/>
      <c r="E1583" s="106"/>
    </row>
    <row r="1584" ht="15.75" customHeight="1">
      <c r="A1584" s="95"/>
      <c r="B1584" s="104"/>
      <c r="C1584" s="97" t="str">
        <f>VLOOKUP(B1584,Stock!$A$2:$B$133,2,0)</f>
        <v>#N/A</v>
      </c>
      <c r="D1584" s="105"/>
      <c r="E1584" s="106"/>
    </row>
    <row r="1585" ht="15.75" customHeight="1">
      <c r="A1585" s="95"/>
      <c r="B1585" s="104"/>
      <c r="C1585" s="97" t="str">
        <f>VLOOKUP(B1585,Stock!$A$2:$B$133,2,0)</f>
        <v>#N/A</v>
      </c>
      <c r="D1585" s="105"/>
      <c r="E1585" s="106"/>
    </row>
    <row r="1586" ht="15.75" customHeight="1">
      <c r="A1586" s="95"/>
      <c r="B1586" s="104"/>
      <c r="C1586" s="97" t="str">
        <f>VLOOKUP(B1586,Stock!$A$2:$B$133,2,0)</f>
        <v>#N/A</v>
      </c>
      <c r="D1586" s="105"/>
      <c r="E1586" s="106"/>
    </row>
    <row r="1587" ht="15.75" customHeight="1">
      <c r="A1587" s="95"/>
      <c r="B1587" s="104"/>
      <c r="C1587" s="97" t="str">
        <f>VLOOKUP(B1587,Stock!$A$2:$B$133,2,0)</f>
        <v>#N/A</v>
      </c>
      <c r="D1587" s="105"/>
      <c r="E1587" s="106"/>
    </row>
    <row r="1588" ht="15.75" customHeight="1">
      <c r="A1588" s="95"/>
      <c r="B1588" s="104"/>
      <c r="C1588" s="97" t="str">
        <f>VLOOKUP(B1588,Stock!$A$2:$B$133,2,0)</f>
        <v>#N/A</v>
      </c>
      <c r="D1588" s="105"/>
      <c r="E1588" s="106"/>
    </row>
    <row r="1589" ht="15.75" customHeight="1">
      <c r="A1589" s="95"/>
      <c r="B1589" s="104"/>
      <c r="C1589" s="97" t="str">
        <f>VLOOKUP(B1589,Stock!$A$2:$B$133,2,0)</f>
        <v>#N/A</v>
      </c>
      <c r="D1589" s="105"/>
      <c r="E1589" s="106"/>
    </row>
    <row r="1590" ht="15.75" customHeight="1">
      <c r="A1590" s="95"/>
      <c r="B1590" s="104"/>
      <c r="C1590" s="97" t="str">
        <f>VLOOKUP(B1590,Stock!$A$2:$B$133,2,0)</f>
        <v>#N/A</v>
      </c>
      <c r="D1590" s="105"/>
      <c r="E1590" s="106"/>
    </row>
    <row r="1591" ht="15.75" customHeight="1">
      <c r="A1591" s="95"/>
      <c r="B1591" s="104"/>
      <c r="C1591" s="97" t="str">
        <f>VLOOKUP(B1591,Stock!$A$2:$B$133,2,0)</f>
        <v>#N/A</v>
      </c>
      <c r="D1591" s="105"/>
      <c r="E1591" s="106"/>
    </row>
    <row r="1592" ht="15.75" customHeight="1">
      <c r="A1592" s="95"/>
      <c r="B1592" s="104"/>
      <c r="C1592" s="97" t="str">
        <f>VLOOKUP(B1592,Stock!$A$2:$B$133,2,0)</f>
        <v>#N/A</v>
      </c>
      <c r="D1592" s="105"/>
      <c r="E1592" s="106"/>
    </row>
    <row r="1593" ht="15.75" customHeight="1">
      <c r="A1593" s="95"/>
      <c r="B1593" s="104"/>
      <c r="C1593" s="97" t="str">
        <f>VLOOKUP(B1593,Stock!$A$2:$B$133,2,0)</f>
        <v>#N/A</v>
      </c>
      <c r="D1593" s="105"/>
      <c r="E1593" s="106"/>
    </row>
    <row r="1594" ht="15.75" customHeight="1">
      <c r="A1594" s="95"/>
      <c r="B1594" s="104"/>
      <c r="C1594" s="97" t="str">
        <f>VLOOKUP(B1594,Stock!$A$2:$B$133,2,0)</f>
        <v>#N/A</v>
      </c>
      <c r="D1594" s="105"/>
      <c r="E1594" s="106"/>
    </row>
    <row r="1595" ht="15.75" customHeight="1">
      <c r="A1595" s="95"/>
      <c r="B1595" s="104"/>
      <c r="C1595" s="97" t="str">
        <f>VLOOKUP(B1595,Stock!$A$2:$B$133,2,0)</f>
        <v>#N/A</v>
      </c>
      <c r="D1595" s="105"/>
      <c r="E1595" s="106"/>
    </row>
    <row r="1596" ht="15.75" customHeight="1">
      <c r="A1596" s="95"/>
      <c r="B1596" s="104"/>
      <c r="C1596" s="97" t="str">
        <f>VLOOKUP(B1596,Stock!$A$2:$B$133,2,0)</f>
        <v>#N/A</v>
      </c>
      <c r="D1596" s="105"/>
      <c r="E1596" s="106"/>
    </row>
    <row r="1597" ht="15.75" customHeight="1">
      <c r="A1597" s="95"/>
      <c r="B1597" s="104"/>
      <c r="C1597" s="97" t="str">
        <f>VLOOKUP(B1597,Stock!$A$2:$B$133,2,0)</f>
        <v>#N/A</v>
      </c>
      <c r="D1597" s="105"/>
      <c r="E1597" s="106"/>
    </row>
    <row r="1598" ht="15.75" customHeight="1">
      <c r="A1598" s="95"/>
      <c r="B1598" s="104"/>
      <c r="C1598" s="97" t="str">
        <f>VLOOKUP(B1598,Stock!$A$2:$B$133,2,0)</f>
        <v>#N/A</v>
      </c>
      <c r="D1598" s="105"/>
      <c r="E1598" s="106"/>
    </row>
    <row r="1599" ht="15.75" customHeight="1">
      <c r="A1599" s="95"/>
      <c r="B1599" s="104"/>
      <c r="C1599" s="97" t="str">
        <f>VLOOKUP(B1599,Stock!$A$2:$B$133,2,0)</f>
        <v>#N/A</v>
      </c>
      <c r="D1599" s="105"/>
      <c r="E1599" s="106"/>
    </row>
    <row r="1600" ht="15.75" customHeight="1">
      <c r="A1600" s="95"/>
      <c r="B1600" s="104"/>
      <c r="C1600" s="97" t="str">
        <f>VLOOKUP(B1600,Stock!$A$2:$B$133,2,0)</f>
        <v>#N/A</v>
      </c>
      <c r="D1600" s="105"/>
      <c r="E1600" s="106"/>
    </row>
    <row r="1601" ht="15.75" customHeight="1">
      <c r="A1601" s="95"/>
      <c r="B1601" s="104"/>
      <c r="C1601" s="97" t="str">
        <f>VLOOKUP(B1601,Stock!$A$2:$B$133,2,0)</f>
        <v>#N/A</v>
      </c>
      <c r="D1601" s="105"/>
      <c r="E1601" s="106"/>
    </row>
    <row r="1602" ht="15.75" customHeight="1">
      <c r="A1602" s="95"/>
      <c r="B1602" s="104"/>
      <c r="C1602" s="97" t="str">
        <f>VLOOKUP(B1602,Stock!$A$2:$B$133,2,0)</f>
        <v>#N/A</v>
      </c>
      <c r="D1602" s="105"/>
      <c r="E1602" s="106"/>
    </row>
    <row r="1603" ht="15.75" customHeight="1">
      <c r="A1603" s="95"/>
      <c r="B1603" s="104"/>
      <c r="C1603" s="97" t="str">
        <f>VLOOKUP(B1603,Stock!$A$2:$B$133,2,0)</f>
        <v>#N/A</v>
      </c>
      <c r="D1603" s="105"/>
      <c r="E1603" s="106"/>
    </row>
    <row r="1604" ht="15.75" customHeight="1">
      <c r="A1604" s="95"/>
      <c r="B1604" s="104"/>
      <c r="C1604" s="97" t="str">
        <f>VLOOKUP(B1604,Stock!$A$2:$B$133,2,0)</f>
        <v>#N/A</v>
      </c>
      <c r="D1604" s="105"/>
      <c r="E1604" s="106"/>
    </row>
    <row r="1605" ht="15.75" customHeight="1">
      <c r="A1605" s="95"/>
      <c r="B1605" s="104"/>
      <c r="C1605" s="97" t="str">
        <f>VLOOKUP(B1605,Stock!$A$2:$B$133,2,0)</f>
        <v>#N/A</v>
      </c>
      <c r="D1605" s="105"/>
      <c r="E1605" s="106"/>
    </row>
    <row r="1606" ht="15.75" customHeight="1">
      <c r="A1606" s="95"/>
      <c r="B1606" s="104"/>
      <c r="C1606" s="97" t="str">
        <f>VLOOKUP(B1606,Stock!$A$2:$B$133,2,0)</f>
        <v>#N/A</v>
      </c>
      <c r="D1606" s="105"/>
      <c r="E1606" s="106"/>
    </row>
    <row r="1607" ht="15.75" customHeight="1">
      <c r="A1607" s="95"/>
      <c r="B1607" s="104"/>
      <c r="C1607" s="97" t="str">
        <f>VLOOKUP(B1607,Stock!$A$2:$B$133,2,0)</f>
        <v>#N/A</v>
      </c>
      <c r="D1607" s="105"/>
      <c r="E1607" s="106"/>
    </row>
    <row r="1608" ht="15.75" customHeight="1">
      <c r="A1608" s="95"/>
      <c r="B1608" s="104"/>
      <c r="C1608" s="97" t="str">
        <f>VLOOKUP(B1608,Stock!$A$2:$B$133,2,0)</f>
        <v>#N/A</v>
      </c>
      <c r="D1608" s="105"/>
      <c r="E1608" s="106"/>
    </row>
    <row r="1609" ht="15.75" customHeight="1">
      <c r="A1609" s="95"/>
      <c r="B1609" s="104"/>
      <c r="C1609" s="97" t="str">
        <f>VLOOKUP(B1609,Stock!$A$2:$B$133,2,0)</f>
        <v>#N/A</v>
      </c>
      <c r="D1609" s="105"/>
      <c r="E1609" s="106"/>
    </row>
    <row r="1610" ht="15.75" customHeight="1">
      <c r="A1610" s="95"/>
      <c r="B1610" s="104"/>
      <c r="C1610" s="97" t="str">
        <f>VLOOKUP(B1610,Stock!$A$2:$B$133,2,0)</f>
        <v>#N/A</v>
      </c>
      <c r="D1610" s="105"/>
      <c r="E1610" s="106"/>
    </row>
    <row r="1611" ht="15.75" customHeight="1">
      <c r="A1611" s="95"/>
      <c r="B1611" s="104"/>
      <c r="C1611" s="97" t="str">
        <f>VLOOKUP(B1611,Stock!$A$2:$B$133,2,0)</f>
        <v>#N/A</v>
      </c>
      <c r="D1611" s="105"/>
      <c r="E1611" s="106"/>
    </row>
    <row r="1612" ht="15.75" customHeight="1">
      <c r="A1612" s="95"/>
      <c r="B1612" s="104"/>
      <c r="C1612" s="97" t="str">
        <f>VLOOKUP(B1612,Stock!$A$2:$B$133,2,0)</f>
        <v>#N/A</v>
      </c>
      <c r="D1612" s="105"/>
      <c r="E1612" s="106"/>
    </row>
    <row r="1613" ht="15.75" customHeight="1">
      <c r="A1613" s="95"/>
      <c r="B1613" s="104"/>
      <c r="C1613" s="97" t="str">
        <f>VLOOKUP(B1613,Stock!$A$2:$B$133,2,0)</f>
        <v>#N/A</v>
      </c>
      <c r="D1613" s="105"/>
      <c r="E1613" s="106"/>
    </row>
    <row r="1614" ht="15.75" customHeight="1">
      <c r="A1614" s="95"/>
      <c r="B1614" s="104"/>
      <c r="C1614" s="97" t="str">
        <f>VLOOKUP(B1614,Stock!$A$2:$B$133,2,0)</f>
        <v>#N/A</v>
      </c>
      <c r="D1614" s="105"/>
      <c r="E1614" s="106"/>
    </row>
    <row r="1615" ht="15.75" customHeight="1">
      <c r="A1615" s="95"/>
      <c r="B1615" s="104"/>
      <c r="C1615" s="97" t="str">
        <f>VLOOKUP(B1615,Stock!$A$2:$B$133,2,0)</f>
        <v>#N/A</v>
      </c>
      <c r="D1615" s="105"/>
      <c r="E1615" s="106"/>
    </row>
    <row r="1616" ht="15.75" customHeight="1">
      <c r="A1616" s="95"/>
      <c r="B1616" s="104"/>
      <c r="C1616" s="97" t="str">
        <f>VLOOKUP(B1616,Stock!$A$2:$B$133,2,0)</f>
        <v>#N/A</v>
      </c>
      <c r="D1616" s="105"/>
      <c r="E1616" s="106"/>
    </row>
    <row r="1617" ht="15.75" customHeight="1">
      <c r="A1617" s="95"/>
      <c r="B1617" s="104"/>
      <c r="C1617" s="97" t="str">
        <f>VLOOKUP(B1617,Stock!$A$2:$B$133,2,0)</f>
        <v>#N/A</v>
      </c>
      <c r="D1617" s="105"/>
      <c r="E1617" s="106"/>
    </row>
    <row r="1618" ht="15.75" customHeight="1">
      <c r="A1618" s="95"/>
      <c r="B1618" s="104"/>
      <c r="C1618" s="97" t="str">
        <f>VLOOKUP(B1618,Stock!$A$2:$B$133,2,0)</f>
        <v>#N/A</v>
      </c>
      <c r="D1618" s="105"/>
      <c r="E1618" s="106"/>
    </row>
    <row r="1619" ht="15.75" customHeight="1">
      <c r="A1619" s="95"/>
      <c r="B1619" s="104"/>
      <c r="C1619" s="97" t="str">
        <f>VLOOKUP(B1619,Stock!$A$2:$B$133,2,0)</f>
        <v>#N/A</v>
      </c>
      <c r="D1619" s="105"/>
      <c r="E1619" s="106"/>
    </row>
    <row r="1620" ht="15.75" customHeight="1">
      <c r="A1620" s="95"/>
      <c r="B1620" s="104"/>
      <c r="C1620" s="97" t="str">
        <f>VLOOKUP(B1620,Stock!$A$2:$B$133,2,0)</f>
        <v>#N/A</v>
      </c>
      <c r="D1620" s="105"/>
      <c r="E1620" s="106"/>
    </row>
    <row r="1621" ht="15.75" customHeight="1">
      <c r="A1621" s="95"/>
      <c r="B1621" s="104"/>
      <c r="C1621" s="97" t="str">
        <f>VLOOKUP(B1621,Stock!$A$2:$B$133,2,0)</f>
        <v>#N/A</v>
      </c>
      <c r="D1621" s="105"/>
      <c r="E1621" s="106"/>
    </row>
    <row r="1622" ht="15.75" customHeight="1">
      <c r="A1622" s="95"/>
      <c r="B1622" s="104"/>
      <c r="C1622" s="97" t="str">
        <f>VLOOKUP(B1622,Stock!$A$2:$B$133,2,0)</f>
        <v>#N/A</v>
      </c>
      <c r="D1622" s="105"/>
      <c r="E1622" s="106"/>
    </row>
    <row r="1623" ht="15.75" customHeight="1">
      <c r="A1623" s="95"/>
      <c r="B1623" s="104"/>
      <c r="C1623" s="97" t="str">
        <f>VLOOKUP(B1623,Stock!$A$2:$B$133,2,0)</f>
        <v>#N/A</v>
      </c>
      <c r="D1623" s="105"/>
      <c r="E1623" s="106"/>
    </row>
    <row r="1624" ht="15.75" customHeight="1">
      <c r="A1624" s="95"/>
      <c r="B1624" s="104"/>
      <c r="C1624" s="97" t="str">
        <f>VLOOKUP(B1624,Stock!$A$2:$B$133,2,0)</f>
        <v>#N/A</v>
      </c>
      <c r="D1624" s="105"/>
      <c r="E1624" s="106"/>
    </row>
    <row r="1625" ht="15.75" customHeight="1">
      <c r="A1625" s="95"/>
      <c r="B1625" s="104"/>
      <c r="C1625" s="97" t="str">
        <f>VLOOKUP(B1625,Stock!$A$2:$B$133,2,0)</f>
        <v>#N/A</v>
      </c>
      <c r="D1625" s="105"/>
      <c r="E1625" s="106"/>
    </row>
    <row r="1626" ht="15.75" customHeight="1">
      <c r="A1626" s="95"/>
      <c r="B1626" s="104"/>
      <c r="C1626" s="97" t="str">
        <f>VLOOKUP(B1626,Stock!$A$2:$B$133,2,0)</f>
        <v>#N/A</v>
      </c>
      <c r="D1626" s="105"/>
      <c r="E1626" s="106"/>
    </row>
    <row r="1627" ht="15.75" customHeight="1">
      <c r="A1627" s="95"/>
      <c r="B1627" s="104"/>
      <c r="C1627" s="97" t="str">
        <f>VLOOKUP(B1627,Stock!$A$2:$B$133,2,0)</f>
        <v>#N/A</v>
      </c>
      <c r="D1627" s="105"/>
      <c r="E1627" s="106"/>
    </row>
    <row r="1628" ht="15.75" customHeight="1">
      <c r="A1628" s="95"/>
      <c r="B1628" s="104"/>
      <c r="C1628" s="97" t="str">
        <f>VLOOKUP(B1628,Stock!$A$2:$B$133,2,0)</f>
        <v>#N/A</v>
      </c>
      <c r="D1628" s="105"/>
      <c r="E1628" s="106"/>
    </row>
    <row r="1629" ht="15.75" customHeight="1">
      <c r="A1629" s="95"/>
      <c r="B1629" s="104"/>
      <c r="C1629" s="97" t="str">
        <f>VLOOKUP(B1629,Stock!$A$2:$B$133,2,0)</f>
        <v>#N/A</v>
      </c>
      <c r="D1629" s="105"/>
      <c r="E1629" s="106"/>
    </row>
    <row r="1630" ht="15.75" customHeight="1">
      <c r="A1630" s="95"/>
      <c r="B1630" s="104"/>
      <c r="C1630" s="97" t="str">
        <f>VLOOKUP(B1630,Stock!$A$2:$B$133,2,0)</f>
        <v>#N/A</v>
      </c>
      <c r="D1630" s="105"/>
      <c r="E1630" s="106"/>
    </row>
    <row r="1631" ht="15.75" customHeight="1">
      <c r="A1631" s="95"/>
      <c r="B1631" s="104"/>
      <c r="C1631" s="97" t="str">
        <f>VLOOKUP(B1631,Stock!$A$2:$B$133,2,0)</f>
        <v>#N/A</v>
      </c>
      <c r="D1631" s="105"/>
      <c r="E1631" s="106"/>
    </row>
    <row r="1632" ht="15.75" customHeight="1">
      <c r="A1632" s="95"/>
      <c r="B1632" s="104"/>
      <c r="C1632" s="97" t="str">
        <f>VLOOKUP(B1632,Stock!$A$2:$B$133,2,0)</f>
        <v>#N/A</v>
      </c>
      <c r="D1632" s="105"/>
      <c r="E1632" s="106"/>
    </row>
    <row r="1633" ht="15.75" customHeight="1">
      <c r="A1633" s="95"/>
      <c r="B1633" s="104"/>
      <c r="C1633" s="97" t="str">
        <f>VLOOKUP(B1633,Stock!$A$2:$B$133,2,0)</f>
        <v>#N/A</v>
      </c>
      <c r="D1633" s="105"/>
      <c r="E1633" s="106"/>
    </row>
    <row r="1634" ht="15.75" customHeight="1">
      <c r="A1634" s="95"/>
      <c r="B1634" s="104"/>
      <c r="C1634" s="97" t="str">
        <f>VLOOKUP(B1634,Stock!$A$2:$B$133,2,0)</f>
        <v>#N/A</v>
      </c>
      <c r="D1634" s="105"/>
      <c r="E1634" s="106"/>
    </row>
    <row r="1635" ht="15.75" customHeight="1">
      <c r="A1635" s="95"/>
      <c r="B1635" s="104"/>
      <c r="C1635" s="97" t="str">
        <f>VLOOKUP(B1635,Stock!$A$2:$B$133,2,0)</f>
        <v>#N/A</v>
      </c>
      <c r="D1635" s="105"/>
      <c r="E1635" s="106"/>
    </row>
    <row r="1636" ht="15.75" customHeight="1">
      <c r="A1636" s="95"/>
      <c r="B1636" s="104"/>
      <c r="C1636" s="97" t="str">
        <f>VLOOKUP(B1636,Stock!$A$2:$B$133,2,0)</f>
        <v>#N/A</v>
      </c>
      <c r="D1636" s="105"/>
      <c r="E1636" s="106"/>
    </row>
    <row r="1637" ht="15.75" customHeight="1">
      <c r="A1637" s="95"/>
      <c r="B1637" s="104"/>
      <c r="C1637" s="97" t="str">
        <f>VLOOKUP(B1637,Stock!$A$2:$B$133,2,0)</f>
        <v>#N/A</v>
      </c>
      <c r="D1637" s="105"/>
      <c r="E1637" s="106"/>
    </row>
    <row r="1638" ht="15.75" customHeight="1">
      <c r="A1638" s="95"/>
      <c r="B1638" s="104"/>
      <c r="C1638" s="97" t="str">
        <f>VLOOKUP(B1638,Stock!$A$2:$B$133,2,0)</f>
        <v>#N/A</v>
      </c>
      <c r="D1638" s="105"/>
      <c r="E1638" s="106"/>
    </row>
    <row r="1639" ht="15.75" customHeight="1">
      <c r="A1639" s="95"/>
      <c r="B1639" s="104"/>
      <c r="C1639" s="97" t="str">
        <f>VLOOKUP(B1639,Stock!$A$2:$B$133,2,0)</f>
        <v>#N/A</v>
      </c>
      <c r="D1639" s="105"/>
      <c r="E1639" s="106"/>
    </row>
    <row r="1640" ht="15.75" customHeight="1">
      <c r="A1640" s="95"/>
      <c r="B1640" s="104"/>
      <c r="C1640" s="97" t="str">
        <f>VLOOKUP(B1640,Stock!$A$2:$B$133,2,0)</f>
        <v>#N/A</v>
      </c>
      <c r="D1640" s="105"/>
      <c r="E1640" s="106"/>
    </row>
    <row r="1641" ht="15.75" customHeight="1">
      <c r="A1641" s="95"/>
      <c r="B1641" s="104"/>
      <c r="C1641" s="97" t="str">
        <f>VLOOKUP(B1641,Stock!$A$2:$B$133,2,0)</f>
        <v>#N/A</v>
      </c>
      <c r="D1641" s="105"/>
      <c r="E1641" s="106"/>
    </row>
    <row r="1642" ht="15.75" customHeight="1">
      <c r="A1642" s="95"/>
      <c r="B1642" s="104"/>
      <c r="C1642" s="97" t="str">
        <f>VLOOKUP(B1642,Stock!$A$2:$B$133,2,0)</f>
        <v>#N/A</v>
      </c>
      <c r="D1642" s="105"/>
      <c r="E1642" s="106"/>
    </row>
    <row r="1643" ht="15.75" customHeight="1">
      <c r="A1643" s="95"/>
      <c r="B1643" s="104"/>
      <c r="C1643" s="97" t="str">
        <f>VLOOKUP(B1643,Stock!$A$2:$B$133,2,0)</f>
        <v>#N/A</v>
      </c>
      <c r="D1643" s="105"/>
      <c r="E1643" s="106"/>
    </row>
    <row r="1644" ht="15.75" customHeight="1">
      <c r="A1644" s="95"/>
      <c r="B1644" s="104"/>
      <c r="C1644" s="97" t="str">
        <f>VLOOKUP(B1644,Stock!$A$2:$B$133,2,0)</f>
        <v>#N/A</v>
      </c>
      <c r="D1644" s="105"/>
      <c r="E1644" s="106"/>
    </row>
    <row r="1645" ht="15.75" customHeight="1">
      <c r="A1645" s="95"/>
      <c r="B1645" s="104"/>
      <c r="C1645" s="97" t="str">
        <f>VLOOKUP(B1645,Stock!$A$2:$B$133,2,0)</f>
        <v>#N/A</v>
      </c>
      <c r="D1645" s="105"/>
      <c r="E1645" s="106"/>
    </row>
    <row r="1646" ht="15.75" customHeight="1">
      <c r="A1646" s="95"/>
      <c r="B1646" s="104"/>
      <c r="C1646" s="97" t="str">
        <f>VLOOKUP(B1646,Stock!$A$2:$B$133,2,0)</f>
        <v>#N/A</v>
      </c>
      <c r="D1646" s="105"/>
      <c r="E1646" s="106"/>
    </row>
    <row r="1647" ht="15.75" customHeight="1">
      <c r="A1647" s="95"/>
      <c r="B1647" s="104"/>
      <c r="C1647" s="97" t="str">
        <f>VLOOKUP(B1647,Stock!$A$2:$B$133,2,0)</f>
        <v>#N/A</v>
      </c>
      <c r="D1647" s="105"/>
      <c r="E1647" s="106"/>
    </row>
    <row r="1648" ht="15.75" customHeight="1">
      <c r="A1648" s="95"/>
      <c r="B1648" s="104"/>
      <c r="C1648" s="97" t="str">
        <f>VLOOKUP(B1648,Stock!$A$2:$B$133,2,0)</f>
        <v>#N/A</v>
      </c>
      <c r="D1648" s="105"/>
      <c r="E1648" s="106"/>
    </row>
    <row r="1649" ht="15.75" customHeight="1">
      <c r="A1649" s="95"/>
      <c r="B1649" s="104"/>
      <c r="C1649" s="97" t="str">
        <f>VLOOKUP(B1649,Stock!$A$2:$B$133,2,0)</f>
        <v>#N/A</v>
      </c>
      <c r="D1649" s="105"/>
      <c r="E1649" s="106"/>
    </row>
    <row r="1650" ht="15.75" customHeight="1">
      <c r="A1650" s="95"/>
      <c r="B1650" s="104"/>
      <c r="C1650" s="97" t="str">
        <f>VLOOKUP(B1650,Stock!$A$2:$B$133,2,0)</f>
        <v>#N/A</v>
      </c>
      <c r="D1650" s="105"/>
      <c r="E1650" s="106"/>
    </row>
    <row r="1651" ht="15.75" customHeight="1">
      <c r="A1651" s="95"/>
      <c r="B1651" s="104"/>
      <c r="C1651" s="97" t="str">
        <f>VLOOKUP(B1651,Stock!$A$2:$B$133,2,0)</f>
        <v>#N/A</v>
      </c>
      <c r="D1651" s="105"/>
      <c r="E1651" s="106"/>
    </row>
    <row r="1652" ht="15.75" customHeight="1">
      <c r="A1652" s="95"/>
      <c r="B1652" s="104"/>
      <c r="C1652" s="97" t="str">
        <f>VLOOKUP(B1652,Stock!$A$2:$B$133,2,0)</f>
        <v>#N/A</v>
      </c>
      <c r="D1652" s="105"/>
      <c r="E1652" s="106"/>
    </row>
    <row r="1653" ht="15.75" customHeight="1">
      <c r="A1653" s="95"/>
      <c r="B1653" s="104"/>
      <c r="C1653" s="97" t="str">
        <f>VLOOKUP(B1653,Stock!$A$2:$B$133,2,0)</f>
        <v>#N/A</v>
      </c>
      <c r="D1653" s="105"/>
      <c r="E1653" s="106"/>
    </row>
    <row r="1654" ht="15.75" customHeight="1">
      <c r="A1654" s="95"/>
      <c r="B1654" s="104"/>
      <c r="C1654" s="97" t="str">
        <f>VLOOKUP(B1654,Stock!$A$2:$B$133,2,0)</f>
        <v>#N/A</v>
      </c>
      <c r="D1654" s="105"/>
      <c r="E1654" s="106"/>
    </row>
    <row r="1655" ht="15.75" customHeight="1">
      <c r="A1655" s="95"/>
      <c r="B1655" s="104"/>
      <c r="C1655" s="97" t="str">
        <f>VLOOKUP(B1655,Stock!$A$2:$B$133,2,0)</f>
        <v>#N/A</v>
      </c>
      <c r="D1655" s="105"/>
      <c r="E1655" s="106"/>
    </row>
    <row r="1656" ht="15.75" customHeight="1">
      <c r="A1656" s="95"/>
      <c r="B1656" s="104"/>
      <c r="C1656" s="97" t="str">
        <f>VLOOKUP(B1656,Stock!$A$2:$B$133,2,0)</f>
        <v>#N/A</v>
      </c>
      <c r="D1656" s="105"/>
      <c r="E1656" s="106"/>
    </row>
    <row r="1657" ht="15.75" customHeight="1">
      <c r="A1657" s="95"/>
      <c r="B1657" s="104"/>
      <c r="C1657" s="97" t="str">
        <f>VLOOKUP(B1657,Stock!$A$2:$B$133,2,0)</f>
        <v>#N/A</v>
      </c>
      <c r="D1657" s="105"/>
      <c r="E1657" s="106"/>
    </row>
    <row r="1658" ht="15.75" customHeight="1">
      <c r="A1658" s="95"/>
      <c r="B1658" s="104"/>
      <c r="C1658" s="97" t="str">
        <f>VLOOKUP(B1658,Stock!$A$2:$B$133,2,0)</f>
        <v>#N/A</v>
      </c>
      <c r="D1658" s="105"/>
      <c r="E1658" s="106"/>
    </row>
    <row r="1659" ht="15.75" customHeight="1">
      <c r="A1659" s="95"/>
      <c r="B1659" s="104"/>
      <c r="C1659" s="97" t="str">
        <f>VLOOKUP(B1659,Stock!$A$2:$B$133,2,0)</f>
        <v>#N/A</v>
      </c>
      <c r="D1659" s="105"/>
      <c r="E1659" s="106"/>
    </row>
    <row r="1660" ht="15.75" customHeight="1">
      <c r="A1660" s="95"/>
      <c r="B1660" s="104"/>
      <c r="C1660" s="97" t="str">
        <f>VLOOKUP(B1660,Stock!$A$2:$B$133,2,0)</f>
        <v>#N/A</v>
      </c>
      <c r="D1660" s="105"/>
      <c r="E1660" s="106"/>
    </row>
    <row r="1661" ht="15.75" customHeight="1">
      <c r="A1661" s="95"/>
      <c r="B1661" s="104"/>
      <c r="C1661" s="97" t="str">
        <f>VLOOKUP(B1661,Stock!$A$2:$B$133,2,0)</f>
        <v>#N/A</v>
      </c>
      <c r="D1661" s="105"/>
      <c r="E1661" s="106"/>
    </row>
    <row r="1662" ht="15.75" customHeight="1">
      <c r="A1662" s="95"/>
      <c r="B1662" s="104"/>
      <c r="C1662" s="97" t="str">
        <f>VLOOKUP(B1662,Stock!$A$2:$B$133,2,0)</f>
        <v>#N/A</v>
      </c>
      <c r="D1662" s="105"/>
      <c r="E1662" s="106"/>
    </row>
    <row r="1663" ht="15.75" customHeight="1">
      <c r="A1663" s="95"/>
      <c r="B1663" s="104"/>
      <c r="C1663" s="97" t="str">
        <f>VLOOKUP(B1663,Stock!$A$2:$B$133,2,0)</f>
        <v>#N/A</v>
      </c>
      <c r="D1663" s="105"/>
      <c r="E1663" s="106"/>
    </row>
    <row r="1664" ht="15.75" customHeight="1">
      <c r="A1664" s="95"/>
      <c r="B1664" s="104"/>
      <c r="C1664" s="97" t="str">
        <f>VLOOKUP(B1664,Stock!$A$2:$B$133,2,0)</f>
        <v>#N/A</v>
      </c>
      <c r="D1664" s="105"/>
      <c r="E1664" s="106"/>
    </row>
    <row r="1665" ht="15.75" customHeight="1">
      <c r="A1665" s="95"/>
      <c r="B1665" s="104"/>
      <c r="C1665" s="97" t="str">
        <f>VLOOKUP(B1665,Stock!$A$2:$B$133,2,0)</f>
        <v>#N/A</v>
      </c>
      <c r="D1665" s="105"/>
      <c r="E1665" s="106"/>
    </row>
    <row r="1666" ht="15.75" customHeight="1">
      <c r="A1666" s="95"/>
      <c r="B1666" s="104"/>
      <c r="C1666" s="97" t="str">
        <f>VLOOKUP(B1666,Stock!$A$2:$B$133,2,0)</f>
        <v>#N/A</v>
      </c>
      <c r="D1666" s="105"/>
      <c r="E1666" s="106"/>
    </row>
    <row r="1667" ht="15.75" customHeight="1">
      <c r="A1667" s="95"/>
      <c r="B1667" s="104"/>
      <c r="C1667" s="97" t="str">
        <f>VLOOKUP(B1667,Stock!$A$2:$B$133,2,0)</f>
        <v>#N/A</v>
      </c>
      <c r="D1667" s="105"/>
      <c r="E1667" s="106"/>
    </row>
    <row r="1668" ht="15.75" customHeight="1">
      <c r="A1668" s="95"/>
      <c r="B1668" s="104"/>
      <c r="C1668" s="97" t="str">
        <f>VLOOKUP(B1668,Stock!$A$2:$B$133,2,0)</f>
        <v>#N/A</v>
      </c>
      <c r="D1668" s="105"/>
      <c r="E1668" s="106"/>
    </row>
    <row r="1669" ht="15.75" customHeight="1">
      <c r="A1669" s="95"/>
      <c r="B1669" s="104"/>
      <c r="C1669" s="97" t="str">
        <f>VLOOKUP(B1669,Stock!$A$2:$B$133,2,0)</f>
        <v>#N/A</v>
      </c>
      <c r="D1669" s="105"/>
      <c r="E1669" s="106"/>
    </row>
    <row r="1670" ht="15.75" customHeight="1">
      <c r="A1670" s="95"/>
      <c r="B1670" s="104"/>
      <c r="C1670" s="97" t="str">
        <f>VLOOKUP(B1670,Stock!$A$2:$B$133,2,0)</f>
        <v>#N/A</v>
      </c>
      <c r="D1670" s="105"/>
      <c r="E1670" s="106"/>
    </row>
    <row r="1671" ht="15.75" customHeight="1">
      <c r="A1671" s="95"/>
      <c r="B1671" s="104"/>
      <c r="C1671" s="97" t="str">
        <f>VLOOKUP(B1671,Stock!$A$2:$B$133,2,0)</f>
        <v>#N/A</v>
      </c>
      <c r="D1671" s="105"/>
      <c r="E1671" s="106"/>
    </row>
    <row r="1672" ht="15.75" customHeight="1">
      <c r="A1672" s="95"/>
      <c r="B1672" s="104"/>
      <c r="C1672" s="97" t="str">
        <f>VLOOKUP(B1672,Stock!$A$2:$B$133,2,0)</f>
        <v>#N/A</v>
      </c>
      <c r="D1672" s="105"/>
      <c r="E1672" s="106"/>
    </row>
    <row r="1673" ht="15.75" customHeight="1">
      <c r="A1673" s="95"/>
      <c r="B1673" s="104"/>
      <c r="C1673" s="97" t="str">
        <f>VLOOKUP(B1673,Stock!$A$2:$B$133,2,0)</f>
        <v>#N/A</v>
      </c>
      <c r="D1673" s="105"/>
      <c r="E1673" s="106"/>
    </row>
    <row r="1674" ht="15.75" customHeight="1">
      <c r="A1674" s="95"/>
      <c r="B1674" s="104"/>
      <c r="C1674" s="97" t="str">
        <f>VLOOKUP(B1674,Stock!$A$2:$B$133,2,0)</f>
        <v>#N/A</v>
      </c>
      <c r="D1674" s="105"/>
      <c r="E1674" s="106"/>
    </row>
    <row r="1675" ht="15.75" customHeight="1">
      <c r="A1675" s="95"/>
      <c r="B1675" s="104"/>
      <c r="C1675" s="97" t="str">
        <f>VLOOKUP(B1675,Stock!$A$2:$B$133,2,0)</f>
        <v>#N/A</v>
      </c>
      <c r="D1675" s="105"/>
      <c r="E1675" s="106"/>
    </row>
    <row r="1676" ht="15.75" customHeight="1">
      <c r="A1676" s="95"/>
      <c r="B1676" s="104"/>
      <c r="C1676" s="97" t="str">
        <f>VLOOKUP(B1676,Stock!$A$2:$B$133,2,0)</f>
        <v>#N/A</v>
      </c>
      <c r="D1676" s="105"/>
      <c r="E1676" s="106"/>
    </row>
    <row r="1677" ht="15.75" customHeight="1">
      <c r="A1677" s="95"/>
      <c r="B1677" s="104"/>
      <c r="C1677" s="97" t="str">
        <f>VLOOKUP(B1677,Stock!$A$2:$B$133,2,0)</f>
        <v>#N/A</v>
      </c>
      <c r="D1677" s="105"/>
      <c r="E1677" s="106"/>
    </row>
    <row r="1678" ht="15.75" customHeight="1">
      <c r="A1678" s="95"/>
      <c r="B1678" s="104"/>
      <c r="C1678" s="97" t="str">
        <f>VLOOKUP(B1678,Stock!$A$2:$B$133,2,0)</f>
        <v>#N/A</v>
      </c>
      <c r="D1678" s="105"/>
      <c r="E1678" s="106"/>
    </row>
    <row r="1679" ht="15.75" customHeight="1">
      <c r="A1679" s="95"/>
      <c r="B1679" s="104"/>
      <c r="C1679" s="97" t="str">
        <f>VLOOKUP(B1679,Stock!$A$2:$B$133,2,0)</f>
        <v>#N/A</v>
      </c>
      <c r="D1679" s="105"/>
      <c r="E1679" s="106"/>
    </row>
    <row r="1680" ht="15.75" customHeight="1">
      <c r="A1680" s="95"/>
      <c r="B1680" s="104"/>
      <c r="C1680" s="97" t="str">
        <f>VLOOKUP(B1680,Stock!$A$2:$B$133,2,0)</f>
        <v>#N/A</v>
      </c>
      <c r="D1680" s="105"/>
      <c r="E1680" s="106"/>
    </row>
    <row r="1681" ht="15.75" customHeight="1">
      <c r="A1681" s="95"/>
      <c r="B1681" s="104"/>
      <c r="C1681" s="97" t="str">
        <f>VLOOKUP(B1681,Stock!$A$2:$B$133,2,0)</f>
        <v>#N/A</v>
      </c>
      <c r="D1681" s="105"/>
      <c r="E1681" s="106"/>
    </row>
    <row r="1682" ht="15.75" customHeight="1">
      <c r="A1682" s="95"/>
      <c r="B1682" s="104"/>
      <c r="C1682" s="97" t="str">
        <f>VLOOKUP(B1682,Stock!$A$2:$B$133,2,0)</f>
        <v>#N/A</v>
      </c>
      <c r="D1682" s="105"/>
      <c r="E1682" s="106"/>
    </row>
    <row r="1683" ht="15.75" customHeight="1">
      <c r="A1683" s="95"/>
      <c r="B1683" s="104"/>
      <c r="C1683" s="97" t="str">
        <f>VLOOKUP(B1683,Stock!$A$2:$B$133,2,0)</f>
        <v>#N/A</v>
      </c>
      <c r="D1683" s="105"/>
      <c r="E1683" s="106"/>
    </row>
    <row r="1684" ht="15.75" customHeight="1">
      <c r="A1684" s="95"/>
      <c r="B1684" s="104"/>
      <c r="C1684" s="97" t="str">
        <f>VLOOKUP(B1684,Stock!$A$2:$B$133,2,0)</f>
        <v>#N/A</v>
      </c>
      <c r="D1684" s="105"/>
      <c r="E1684" s="106"/>
    </row>
    <row r="1685" ht="15.75" customHeight="1">
      <c r="A1685" s="95"/>
      <c r="B1685" s="104"/>
      <c r="C1685" s="97" t="str">
        <f>VLOOKUP(B1685,Stock!$A$2:$B$133,2,0)</f>
        <v>#N/A</v>
      </c>
      <c r="D1685" s="105"/>
      <c r="E1685" s="106"/>
    </row>
    <row r="1686" ht="15.75" customHeight="1">
      <c r="A1686" s="95"/>
      <c r="B1686" s="104"/>
      <c r="C1686" s="97" t="str">
        <f>VLOOKUP(B1686,Stock!$A$2:$B$133,2,0)</f>
        <v>#N/A</v>
      </c>
      <c r="D1686" s="105"/>
      <c r="E1686" s="106"/>
    </row>
    <row r="1687" ht="15.75" customHeight="1">
      <c r="A1687" s="95"/>
      <c r="B1687" s="104"/>
      <c r="C1687" s="97" t="str">
        <f>VLOOKUP(B1687,Stock!$A$2:$B$133,2,0)</f>
        <v>#N/A</v>
      </c>
      <c r="D1687" s="105"/>
      <c r="E1687" s="106"/>
    </row>
    <row r="1688" ht="15.75" customHeight="1">
      <c r="A1688" s="95"/>
      <c r="B1688" s="104"/>
      <c r="C1688" s="97" t="str">
        <f>VLOOKUP(B1688,Stock!$A$2:$B$133,2,0)</f>
        <v>#N/A</v>
      </c>
      <c r="D1688" s="105"/>
      <c r="E1688" s="106"/>
    </row>
    <row r="1689" ht="15.75" customHeight="1">
      <c r="A1689" s="95"/>
      <c r="B1689" s="104"/>
      <c r="C1689" s="97" t="str">
        <f>VLOOKUP(B1689,Stock!$A$2:$B$133,2,0)</f>
        <v>#N/A</v>
      </c>
      <c r="D1689" s="105"/>
      <c r="E1689" s="106"/>
    </row>
    <row r="1690" ht="15.75" customHeight="1">
      <c r="A1690" s="95"/>
      <c r="B1690" s="104"/>
      <c r="C1690" s="97" t="str">
        <f>VLOOKUP(B1690,Stock!$A$2:$B$133,2,0)</f>
        <v>#N/A</v>
      </c>
      <c r="D1690" s="105"/>
      <c r="E1690" s="106"/>
    </row>
    <row r="1691" ht="15.75" customHeight="1">
      <c r="A1691" s="95"/>
      <c r="B1691" s="104"/>
      <c r="C1691" s="97" t="str">
        <f>VLOOKUP(B1691,Stock!$A$2:$B$133,2,0)</f>
        <v>#N/A</v>
      </c>
      <c r="D1691" s="105"/>
      <c r="E1691" s="106"/>
    </row>
    <row r="1692" ht="15.75" customHeight="1">
      <c r="A1692" s="95"/>
      <c r="B1692" s="104"/>
      <c r="C1692" s="97" t="str">
        <f>VLOOKUP(B1692,Stock!$A$2:$B$133,2,0)</f>
        <v>#N/A</v>
      </c>
      <c r="D1692" s="105"/>
      <c r="E1692" s="106"/>
    </row>
    <row r="1693" ht="15.75" customHeight="1">
      <c r="A1693" s="95"/>
      <c r="B1693" s="104"/>
      <c r="C1693" s="97" t="str">
        <f>VLOOKUP(B1693,Stock!$A$2:$B$133,2,0)</f>
        <v>#N/A</v>
      </c>
      <c r="D1693" s="105"/>
      <c r="E1693" s="106"/>
    </row>
    <row r="1694" ht="15.75" customHeight="1">
      <c r="A1694" s="95"/>
      <c r="B1694" s="104"/>
      <c r="C1694" s="97" t="str">
        <f>VLOOKUP(B1694,Stock!$A$2:$B$133,2,0)</f>
        <v>#N/A</v>
      </c>
      <c r="D1694" s="105"/>
      <c r="E1694" s="106"/>
    </row>
    <row r="1695" ht="15.75" customHeight="1">
      <c r="A1695" s="95"/>
      <c r="B1695" s="104"/>
      <c r="C1695" s="97" t="str">
        <f>VLOOKUP(B1695,Stock!$A$2:$B$133,2,0)</f>
        <v>#N/A</v>
      </c>
      <c r="D1695" s="105"/>
      <c r="E1695" s="106"/>
    </row>
    <row r="1696" ht="15.75" customHeight="1">
      <c r="A1696" s="95"/>
      <c r="B1696" s="104"/>
      <c r="C1696" s="97" t="str">
        <f>VLOOKUP(B1696,Stock!$A$2:$B$133,2,0)</f>
        <v>#N/A</v>
      </c>
      <c r="D1696" s="105"/>
      <c r="E1696" s="106"/>
    </row>
    <row r="1697" ht="15.75" customHeight="1">
      <c r="A1697" s="95"/>
      <c r="B1697" s="104"/>
      <c r="C1697" s="97" t="str">
        <f>VLOOKUP(B1697,Stock!$A$2:$B$133,2,0)</f>
        <v>#N/A</v>
      </c>
      <c r="D1697" s="105"/>
      <c r="E1697" s="106"/>
    </row>
    <row r="1698" ht="15.75" customHeight="1">
      <c r="A1698" s="95"/>
      <c r="B1698" s="104"/>
      <c r="C1698" s="97" t="str">
        <f>VLOOKUP(B1698,Stock!$A$2:$B$133,2,0)</f>
        <v>#N/A</v>
      </c>
      <c r="D1698" s="105"/>
      <c r="E1698" s="106"/>
    </row>
    <row r="1699" ht="15.75" customHeight="1">
      <c r="A1699" s="95"/>
      <c r="B1699" s="104"/>
      <c r="C1699" s="97" t="str">
        <f>VLOOKUP(B1699,Stock!$A$2:$B$133,2,0)</f>
        <v>#N/A</v>
      </c>
      <c r="D1699" s="105"/>
      <c r="E1699" s="106"/>
    </row>
    <row r="1700" ht="15.75" customHeight="1">
      <c r="A1700" s="95"/>
      <c r="B1700" s="104"/>
      <c r="C1700" s="97" t="str">
        <f>VLOOKUP(B1700,Stock!$A$2:$B$133,2,0)</f>
        <v>#N/A</v>
      </c>
      <c r="D1700" s="105"/>
      <c r="E1700" s="106"/>
    </row>
    <row r="1701" ht="15.75" customHeight="1">
      <c r="A1701" s="95"/>
      <c r="B1701" s="104"/>
      <c r="C1701" s="97" t="str">
        <f>VLOOKUP(B1701,Stock!$A$2:$B$133,2,0)</f>
        <v>#N/A</v>
      </c>
      <c r="D1701" s="105"/>
      <c r="E1701" s="106"/>
    </row>
    <row r="1702" ht="15.75" customHeight="1">
      <c r="A1702" s="95"/>
      <c r="B1702" s="104"/>
      <c r="C1702" s="97" t="str">
        <f>VLOOKUP(B1702,Stock!$A$2:$B$133,2,0)</f>
        <v>#N/A</v>
      </c>
      <c r="D1702" s="105"/>
      <c r="E1702" s="106"/>
    </row>
    <row r="1703" ht="15.75" customHeight="1">
      <c r="A1703" s="95"/>
      <c r="B1703" s="104"/>
      <c r="C1703" s="97" t="str">
        <f>VLOOKUP(B1703,Stock!$A$2:$B$133,2,0)</f>
        <v>#N/A</v>
      </c>
      <c r="D1703" s="105"/>
      <c r="E1703" s="106"/>
    </row>
    <row r="1704" ht="15.75" customHeight="1">
      <c r="A1704" s="95"/>
      <c r="B1704" s="104"/>
      <c r="C1704" s="97" t="str">
        <f>VLOOKUP(B1704,Stock!$A$2:$B$133,2,0)</f>
        <v>#N/A</v>
      </c>
      <c r="D1704" s="105"/>
      <c r="E1704" s="106"/>
    </row>
    <row r="1705" ht="15.75" customHeight="1">
      <c r="A1705" s="95"/>
      <c r="B1705" s="104"/>
      <c r="C1705" s="97" t="str">
        <f>VLOOKUP(B1705,Stock!$A$2:$B$133,2,0)</f>
        <v>#N/A</v>
      </c>
      <c r="D1705" s="105"/>
      <c r="E1705" s="106"/>
    </row>
    <row r="1706" ht="15.75" customHeight="1">
      <c r="A1706" s="95"/>
      <c r="B1706" s="104"/>
      <c r="C1706" s="97" t="str">
        <f>VLOOKUP(B1706,Stock!$A$2:$B$133,2,0)</f>
        <v>#N/A</v>
      </c>
      <c r="D1706" s="105"/>
      <c r="E1706" s="106"/>
    </row>
    <row r="1707" ht="15.75" customHeight="1">
      <c r="A1707" s="95"/>
      <c r="B1707" s="104"/>
      <c r="C1707" s="97" t="str">
        <f>VLOOKUP(B1707,Stock!$A$2:$B$133,2,0)</f>
        <v>#N/A</v>
      </c>
      <c r="D1707" s="105"/>
      <c r="E1707" s="106"/>
    </row>
    <row r="1708" ht="15.75" customHeight="1">
      <c r="A1708" s="95"/>
      <c r="B1708" s="104"/>
      <c r="C1708" s="97" t="str">
        <f>VLOOKUP(B1708,Stock!$A$2:$B$133,2,0)</f>
        <v>#N/A</v>
      </c>
      <c r="D1708" s="105"/>
      <c r="E1708" s="106"/>
    </row>
    <row r="1709" ht="15.75" customHeight="1">
      <c r="A1709" s="95"/>
      <c r="B1709" s="104"/>
      <c r="C1709" s="97" t="str">
        <f>VLOOKUP(B1709,Stock!$A$2:$B$133,2,0)</f>
        <v>#N/A</v>
      </c>
      <c r="D1709" s="105"/>
      <c r="E1709" s="106"/>
    </row>
    <row r="1710" ht="15.75" customHeight="1">
      <c r="A1710" s="95"/>
      <c r="B1710" s="104"/>
      <c r="C1710" s="97" t="str">
        <f>VLOOKUP(B1710,Stock!$A$2:$B$133,2,0)</f>
        <v>#N/A</v>
      </c>
      <c r="D1710" s="105"/>
      <c r="E1710" s="106"/>
    </row>
    <row r="1711" ht="15.75" customHeight="1">
      <c r="A1711" s="95"/>
      <c r="B1711" s="104"/>
      <c r="C1711" s="97" t="str">
        <f>VLOOKUP(B1711,Stock!$A$2:$B$133,2,0)</f>
        <v>#N/A</v>
      </c>
      <c r="D1711" s="105"/>
      <c r="E1711" s="106"/>
    </row>
    <row r="1712" ht="15.75" customHeight="1">
      <c r="A1712" s="95"/>
      <c r="B1712" s="104"/>
      <c r="C1712" s="97" t="str">
        <f>VLOOKUP(B1712,Stock!$A$2:$B$133,2,0)</f>
        <v>#N/A</v>
      </c>
      <c r="D1712" s="105"/>
      <c r="E1712" s="106"/>
    </row>
    <row r="1713" ht="15.75" customHeight="1">
      <c r="A1713" s="95"/>
      <c r="B1713" s="104"/>
      <c r="C1713" s="97" t="str">
        <f>VLOOKUP(B1713,Stock!$A$2:$B$133,2,0)</f>
        <v>#N/A</v>
      </c>
      <c r="D1713" s="105"/>
      <c r="E1713" s="106"/>
    </row>
    <row r="1714" ht="15.75" customHeight="1">
      <c r="A1714" s="95"/>
      <c r="B1714" s="104"/>
      <c r="C1714" s="97" t="str">
        <f>VLOOKUP(B1714,Stock!$A$2:$B$133,2,0)</f>
        <v>#N/A</v>
      </c>
      <c r="D1714" s="105"/>
      <c r="E1714" s="106"/>
    </row>
    <row r="1715" ht="15.75" customHeight="1">
      <c r="A1715" s="95"/>
      <c r="B1715" s="104"/>
      <c r="C1715" s="97" t="str">
        <f>VLOOKUP(B1715,Stock!$A$2:$B$133,2,0)</f>
        <v>#N/A</v>
      </c>
      <c r="D1715" s="105"/>
      <c r="E1715" s="106"/>
    </row>
    <row r="1716" ht="15.75" customHeight="1">
      <c r="A1716" s="95"/>
      <c r="B1716" s="104"/>
      <c r="C1716" s="97" t="str">
        <f>VLOOKUP(B1716,Stock!$A$2:$B$133,2,0)</f>
        <v>#N/A</v>
      </c>
      <c r="D1716" s="105"/>
      <c r="E1716" s="106"/>
    </row>
    <row r="1717" ht="15.75" customHeight="1">
      <c r="A1717" s="95"/>
      <c r="B1717" s="104"/>
      <c r="C1717" s="97" t="str">
        <f>VLOOKUP(B1717,Stock!$A$2:$B$133,2,0)</f>
        <v>#N/A</v>
      </c>
      <c r="D1717" s="105"/>
      <c r="E1717" s="106"/>
    </row>
    <row r="1718" ht="15.75" customHeight="1">
      <c r="A1718" s="95"/>
      <c r="B1718" s="104"/>
      <c r="C1718" s="97" t="str">
        <f>VLOOKUP(B1718,Stock!$A$2:$B$133,2,0)</f>
        <v>#N/A</v>
      </c>
      <c r="D1718" s="105"/>
      <c r="E1718" s="106"/>
    </row>
    <row r="1719" ht="15.75" customHeight="1">
      <c r="A1719" s="95"/>
      <c r="B1719" s="104"/>
      <c r="C1719" s="97" t="str">
        <f>VLOOKUP(B1719,Stock!$A$2:$B$133,2,0)</f>
        <v>#N/A</v>
      </c>
      <c r="D1719" s="105"/>
      <c r="E1719" s="106"/>
    </row>
    <row r="1720" ht="15.75" customHeight="1">
      <c r="A1720" s="95"/>
      <c r="B1720" s="104"/>
      <c r="C1720" s="97" t="str">
        <f>VLOOKUP(B1720,Stock!$A$2:$B$133,2,0)</f>
        <v>#N/A</v>
      </c>
      <c r="D1720" s="105"/>
      <c r="E1720" s="106"/>
    </row>
    <row r="1721" ht="15.75" customHeight="1">
      <c r="A1721" s="95"/>
      <c r="B1721" s="104"/>
      <c r="C1721" s="97" t="str">
        <f>VLOOKUP(B1721,Stock!$A$2:$B$133,2,0)</f>
        <v>#N/A</v>
      </c>
      <c r="D1721" s="105"/>
      <c r="E1721" s="106"/>
    </row>
    <row r="1722" ht="15.75" customHeight="1">
      <c r="A1722" s="95"/>
      <c r="B1722" s="104"/>
      <c r="C1722" s="97" t="str">
        <f>VLOOKUP(B1722,Stock!$A$2:$B$133,2,0)</f>
        <v>#N/A</v>
      </c>
      <c r="D1722" s="105"/>
      <c r="E1722" s="106"/>
    </row>
    <row r="1723" ht="15.75" customHeight="1">
      <c r="A1723" s="95"/>
      <c r="B1723" s="104"/>
      <c r="C1723" s="97" t="str">
        <f>VLOOKUP(B1723,Stock!$A$2:$B$133,2,0)</f>
        <v>#N/A</v>
      </c>
      <c r="D1723" s="105"/>
      <c r="E1723" s="106"/>
    </row>
    <row r="1724" ht="15.75" customHeight="1">
      <c r="A1724" s="95"/>
      <c r="B1724" s="104"/>
      <c r="C1724" s="97" t="str">
        <f>VLOOKUP(B1724,Stock!$A$2:$B$133,2,0)</f>
        <v>#N/A</v>
      </c>
      <c r="D1724" s="105"/>
      <c r="E1724" s="106"/>
    </row>
    <row r="1725" ht="15.75" customHeight="1">
      <c r="A1725" s="95"/>
      <c r="B1725" s="104"/>
      <c r="C1725" s="97" t="str">
        <f>VLOOKUP(B1725,Stock!$A$2:$B$133,2,0)</f>
        <v>#N/A</v>
      </c>
      <c r="D1725" s="105"/>
      <c r="E1725" s="106"/>
    </row>
    <row r="1726" ht="15.75" customHeight="1">
      <c r="A1726" s="95"/>
      <c r="B1726" s="104"/>
      <c r="C1726" s="97" t="str">
        <f>VLOOKUP(B1726,Stock!$A$2:$B$133,2,0)</f>
        <v>#N/A</v>
      </c>
      <c r="D1726" s="105"/>
      <c r="E1726" s="106"/>
    </row>
    <row r="1727" ht="15.75" customHeight="1">
      <c r="A1727" s="95"/>
      <c r="B1727" s="104"/>
      <c r="C1727" s="97" t="str">
        <f>VLOOKUP(B1727,Stock!$A$2:$B$133,2,0)</f>
        <v>#N/A</v>
      </c>
      <c r="D1727" s="105"/>
      <c r="E1727" s="106"/>
    </row>
    <row r="1728" ht="15.75" customHeight="1">
      <c r="A1728" s="95"/>
      <c r="B1728" s="104"/>
      <c r="C1728" s="97" t="str">
        <f>VLOOKUP(B1728,Stock!$A$2:$B$133,2,0)</f>
        <v>#N/A</v>
      </c>
      <c r="D1728" s="105"/>
      <c r="E1728" s="106"/>
    </row>
    <row r="1729" ht="15.75" customHeight="1">
      <c r="A1729" s="95"/>
      <c r="B1729" s="104"/>
      <c r="C1729" s="97" t="str">
        <f>VLOOKUP(B1729,Stock!$A$2:$B$133,2,0)</f>
        <v>#N/A</v>
      </c>
      <c r="D1729" s="105"/>
      <c r="E1729" s="106"/>
    </row>
    <row r="1730" ht="15.75" customHeight="1">
      <c r="A1730" s="95"/>
      <c r="B1730" s="104"/>
      <c r="C1730" s="97" t="str">
        <f>VLOOKUP(B1730,Stock!$A$2:$B$133,2,0)</f>
        <v>#N/A</v>
      </c>
      <c r="D1730" s="105"/>
      <c r="E1730" s="106"/>
    </row>
    <row r="1731" ht="15.75" customHeight="1">
      <c r="A1731" s="95"/>
      <c r="B1731" s="104"/>
      <c r="C1731" s="97" t="str">
        <f>VLOOKUP(B1731,Stock!$A$2:$B$133,2,0)</f>
        <v>#N/A</v>
      </c>
      <c r="D1731" s="105"/>
      <c r="E1731" s="106"/>
    </row>
    <row r="1732" ht="15.75" customHeight="1">
      <c r="A1732" s="95"/>
      <c r="B1732" s="104"/>
      <c r="C1732" s="97" t="str">
        <f>VLOOKUP(B1732,Stock!$A$2:$B$133,2,0)</f>
        <v>#N/A</v>
      </c>
      <c r="D1732" s="105"/>
      <c r="E1732" s="106"/>
    </row>
    <row r="1733" ht="15.75" customHeight="1">
      <c r="A1733" s="95"/>
      <c r="B1733" s="104"/>
      <c r="C1733" s="97" t="str">
        <f>VLOOKUP(B1733,Stock!$A$2:$B$133,2,0)</f>
        <v>#N/A</v>
      </c>
      <c r="D1733" s="105"/>
      <c r="E1733" s="106"/>
    </row>
    <row r="1734" ht="15.75" customHeight="1">
      <c r="A1734" s="95"/>
      <c r="B1734" s="104"/>
      <c r="C1734" s="97" t="str">
        <f>VLOOKUP(B1734,Stock!$A$2:$B$133,2,0)</f>
        <v>#N/A</v>
      </c>
      <c r="D1734" s="105"/>
      <c r="E1734" s="106"/>
    </row>
    <row r="1735" ht="15.75" customHeight="1">
      <c r="A1735" s="95"/>
      <c r="B1735" s="104"/>
      <c r="C1735" s="97" t="str">
        <f>VLOOKUP(B1735,Stock!$A$2:$B$133,2,0)</f>
        <v>#N/A</v>
      </c>
      <c r="D1735" s="105"/>
      <c r="E1735" s="106"/>
    </row>
    <row r="1736" ht="15.75" customHeight="1">
      <c r="A1736" s="95"/>
      <c r="B1736" s="104"/>
      <c r="C1736" s="97" t="str">
        <f>VLOOKUP(B1736,Stock!$A$2:$B$133,2,0)</f>
        <v>#N/A</v>
      </c>
      <c r="D1736" s="105"/>
      <c r="E1736" s="106"/>
    </row>
    <row r="1737" ht="15.75" customHeight="1">
      <c r="A1737" s="95"/>
      <c r="B1737" s="104"/>
      <c r="C1737" s="97" t="str">
        <f>VLOOKUP(B1737,Stock!$A$2:$B$133,2,0)</f>
        <v>#N/A</v>
      </c>
      <c r="D1737" s="105"/>
      <c r="E1737" s="106"/>
    </row>
    <row r="1738" ht="15.75" customHeight="1">
      <c r="A1738" s="95"/>
      <c r="B1738" s="104"/>
      <c r="C1738" s="97" t="str">
        <f>VLOOKUP(B1738,Stock!$A$2:$B$133,2,0)</f>
        <v>#N/A</v>
      </c>
      <c r="D1738" s="105"/>
      <c r="E1738" s="106"/>
    </row>
    <row r="1739" ht="15.75" customHeight="1">
      <c r="A1739" s="95"/>
      <c r="B1739" s="104"/>
      <c r="C1739" s="97" t="str">
        <f>VLOOKUP(B1739,Stock!$A$2:$B$133,2,0)</f>
        <v>#N/A</v>
      </c>
      <c r="D1739" s="105"/>
      <c r="E1739" s="106"/>
    </row>
  </sheetData>
  <mergeCells count="1">
    <mergeCell ref="A1:E2"/>
  </mergeCells>
  <printOptions/>
  <pageMargins bottom="0.0" footer="0.0" header="0.0" left="0.0" right="0.0" top="0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